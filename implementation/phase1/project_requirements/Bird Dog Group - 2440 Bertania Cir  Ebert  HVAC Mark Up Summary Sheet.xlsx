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de4adafd9beefe/Shared X Mech Drive/Estimating/Builders/Bird Dog Group/2440 Bertania Ebert/"/>
    </mc:Choice>
  </mc:AlternateContent>
  <xr:revisionPtr revIDLastSave="1582" documentId="8_{E6FC4E26-3D98-4A43-AC48-AE5040FDB814}" xr6:coauthVersionLast="47" xr6:coauthVersionMax="47" xr10:uidLastSave="{082E57FC-514B-485E-B936-A5475A6FBAA5}"/>
  <bookViews>
    <workbookView xWindow="-120" yWindow="-120" windowWidth="29040" windowHeight="15720" xr2:uid="{B1C15BC9-19E4-4B62-BD9F-E903CA5ED2CA}"/>
  </bookViews>
  <sheets>
    <sheet name="Summary" sheetId="1" r:id="rId1"/>
    <sheet name="Rough Labor" sheetId="2" r:id="rId2"/>
    <sheet name="Trim Labor" sheetId="3" r:id="rId3"/>
    <sheet name="Gas PIpe" sheetId="4" r:id="rId4"/>
    <sheet name="Materials" sheetId="13" r:id="rId5"/>
    <sheet name="Calc" sheetId="16" r:id="rId6"/>
    <sheet name="Sheet2" sheetId="15" r:id="rId7"/>
    <sheet name="On Call" sheetId="6" r:id="rId8"/>
    <sheet name="Extras" sheetId="7" r:id="rId9"/>
    <sheet name="Time Card" sheetId="8" r:id="rId10"/>
    <sheet name="Builder Info Sheet" sheetId="9" r:id="rId11"/>
    <sheet name="Sheet1" sheetId="14" r:id="rId12"/>
    <sheet name="Sheet9" sheetId="10" r:id="rId13"/>
  </sheets>
  <definedNames>
    <definedName name="Cash_minimu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18" i="1"/>
  <c r="F17" i="1"/>
  <c r="D11" i="1"/>
  <c r="F89" i="10"/>
  <c r="F676" i="10" l="1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92" i="10"/>
  <c r="F534" i="10"/>
  <c r="F533" i="10"/>
  <c r="F532" i="10"/>
  <c r="F531" i="10"/>
  <c r="F530" i="10"/>
  <c r="F529" i="10"/>
  <c r="F528" i="10"/>
  <c r="F527" i="10"/>
  <c r="F91" i="10"/>
  <c r="F90" i="10"/>
  <c r="F526" i="10"/>
  <c r="F88" i="10"/>
  <c r="F525" i="10"/>
  <c r="F524" i="10"/>
  <c r="F87" i="10"/>
  <c r="F86" i="10"/>
  <c r="F523" i="10"/>
  <c r="F85" i="10"/>
  <c r="F84" i="10"/>
  <c r="F83" i="10"/>
  <c r="F82" i="10"/>
  <c r="F81" i="10"/>
  <c r="F522" i="10"/>
  <c r="F521" i="10"/>
  <c r="F520" i="10"/>
  <c r="F519" i="10"/>
  <c r="F518" i="10"/>
  <c r="F80" i="10"/>
  <c r="F517" i="10"/>
  <c r="F79" i="10"/>
  <c r="F78" i="10"/>
  <c r="F516" i="10"/>
  <c r="F77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76" i="10"/>
  <c r="F441" i="10"/>
  <c r="F440" i="10"/>
  <c r="F439" i="10"/>
  <c r="F438" i="10"/>
  <c r="F75" i="10"/>
  <c r="F74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73" i="10"/>
  <c r="F355" i="10"/>
  <c r="F354" i="10"/>
  <c r="F353" i="10"/>
  <c r="F352" i="10"/>
  <c r="F72" i="10"/>
  <c r="F71" i="10"/>
  <c r="F351" i="10"/>
  <c r="F350" i="10"/>
  <c r="F349" i="10"/>
  <c r="F348" i="10"/>
  <c r="F70" i="10"/>
  <c r="F347" i="10"/>
  <c r="F346" i="10"/>
  <c r="F345" i="10"/>
  <c r="F344" i="10"/>
  <c r="F343" i="10"/>
  <c r="F342" i="10"/>
  <c r="F341" i="10"/>
  <c r="F340" i="10"/>
  <c r="F339" i="10"/>
  <c r="F338" i="10"/>
  <c r="F337" i="10"/>
  <c r="F69" i="10"/>
  <c r="F68" i="10"/>
  <c r="F336" i="10"/>
  <c r="F67" i="10"/>
  <c r="F335" i="10"/>
  <c r="F334" i="10"/>
  <c r="F333" i="10"/>
  <c r="F332" i="10"/>
  <c r="F331" i="10"/>
  <c r="F330" i="10"/>
  <c r="F66" i="10"/>
  <c r="F329" i="10"/>
  <c r="F65" i="10"/>
  <c r="F64" i="10"/>
  <c r="F328" i="10"/>
  <c r="F63" i="10"/>
  <c r="F327" i="10"/>
  <c r="F326" i="10"/>
  <c r="F325" i="10"/>
  <c r="F324" i="10"/>
  <c r="F323" i="10"/>
  <c r="F322" i="10"/>
  <c r="F321" i="10"/>
  <c r="F320" i="10"/>
  <c r="F319" i="10"/>
  <c r="F318" i="10"/>
  <c r="F62" i="10"/>
  <c r="F317" i="10"/>
  <c r="F316" i="10"/>
  <c r="F61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60" i="10"/>
  <c r="F295" i="10"/>
  <c r="F59" i="10"/>
  <c r="F294" i="10"/>
  <c r="F58" i="10"/>
  <c r="F57" i="10"/>
  <c r="F293" i="10"/>
  <c r="F292" i="10"/>
  <c r="F291" i="10"/>
  <c r="F290" i="10"/>
  <c r="F289" i="10"/>
  <c r="F288" i="10"/>
  <c r="F56" i="10"/>
  <c r="F55" i="10"/>
  <c r="F287" i="10"/>
  <c r="F54" i="10"/>
  <c r="F53" i="10"/>
  <c r="F52" i="10"/>
  <c r="F286" i="10"/>
  <c r="F51" i="10"/>
  <c r="F285" i="10"/>
  <c r="F50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49" i="10"/>
  <c r="F260" i="10"/>
  <c r="F48" i="10"/>
  <c r="F47" i="10"/>
  <c r="F259" i="10"/>
  <c r="F46" i="10"/>
  <c r="F45" i="10"/>
  <c r="F44" i="10"/>
  <c r="F43" i="10"/>
  <c r="F258" i="10"/>
  <c r="F257" i="10"/>
  <c r="F256" i="10"/>
  <c r="F255" i="10"/>
  <c r="F254" i="10"/>
  <c r="F42" i="10"/>
  <c r="F253" i="10"/>
  <c r="F252" i="10"/>
  <c r="F251" i="10"/>
  <c r="F250" i="10"/>
  <c r="F41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40" i="10"/>
  <c r="F39" i="10"/>
  <c r="F209" i="10"/>
  <c r="F38" i="10"/>
  <c r="F37" i="10"/>
  <c r="F36" i="10"/>
  <c r="F208" i="10"/>
  <c r="F207" i="10"/>
  <c r="F206" i="10"/>
  <c r="F205" i="10"/>
  <c r="F204" i="10"/>
  <c r="F203" i="10"/>
  <c r="F35" i="10"/>
  <c r="F202" i="10"/>
  <c r="F201" i="10"/>
  <c r="F200" i="10"/>
  <c r="F199" i="10"/>
  <c r="F34" i="10"/>
  <c r="F198" i="10"/>
  <c r="F197" i="10"/>
  <c r="F33" i="10"/>
  <c r="F196" i="10"/>
  <c r="F195" i="10"/>
  <c r="F194" i="10"/>
  <c r="F193" i="10"/>
  <c r="F32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31" i="10"/>
  <c r="F173" i="10"/>
  <c r="F30" i="10"/>
  <c r="F29" i="10"/>
  <c r="F172" i="10"/>
  <c r="F28" i="10"/>
  <c r="F27" i="10"/>
  <c r="F26" i="10"/>
  <c r="F25" i="10"/>
  <c r="F171" i="10"/>
  <c r="F170" i="10"/>
  <c r="F24" i="10"/>
  <c r="F169" i="10"/>
  <c r="F23" i="10"/>
  <c r="F22" i="10"/>
  <c r="F168" i="10"/>
  <c r="F21" i="10"/>
  <c r="F167" i="10"/>
  <c r="F166" i="10"/>
  <c r="F165" i="10"/>
  <c r="F164" i="10"/>
  <c r="F163" i="10"/>
  <c r="F162" i="10"/>
  <c r="F161" i="10"/>
  <c r="F20" i="10"/>
  <c r="F160" i="10"/>
  <c r="F19" i="10"/>
  <c r="F159" i="10"/>
  <c r="F18" i="10"/>
  <c r="F17" i="10"/>
  <c r="F16" i="10"/>
  <c r="F15" i="10"/>
  <c r="F14" i="10"/>
  <c r="F158" i="10"/>
  <c r="F13" i="10"/>
  <c r="F12" i="10"/>
  <c r="F11" i="10"/>
  <c r="F10" i="10"/>
  <c r="F9" i="10"/>
  <c r="F157" i="10"/>
  <c r="F156" i="10"/>
  <c r="F155" i="10"/>
  <c r="F8" i="10"/>
  <c r="F7" i="10"/>
  <c r="F6" i="10"/>
  <c r="F154" i="10"/>
  <c r="F153" i="10"/>
  <c r="F152" i="10"/>
  <c r="F5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4" i="10"/>
  <c r="F101" i="10"/>
  <c r="F100" i="10"/>
  <c r="F99" i="10"/>
  <c r="F98" i="10"/>
  <c r="F3" i="10"/>
  <c r="F97" i="10"/>
  <c r="F96" i="10"/>
  <c r="F95" i="10"/>
  <c r="F94" i="10"/>
  <c r="F2" i="10"/>
  <c r="F93" i="10"/>
  <c r="F1" i="10"/>
  <c r="I57" i="1"/>
  <c r="H57" i="1"/>
  <c r="A11" i="4"/>
  <c r="F11" i="4" s="1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6" i="4"/>
  <c r="F15" i="4"/>
  <c r="F14" i="4"/>
  <c r="F13" i="4"/>
  <c r="F12" i="4"/>
  <c r="F38" i="4" l="1"/>
  <c r="D16" i="1" s="1"/>
  <c r="C18" i="16" l="1"/>
  <c r="F1" i="1" l="1"/>
  <c r="F4" i="13"/>
  <c r="F3" i="13"/>
  <c r="B4" i="13"/>
  <c r="B5" i="13"/>
  <c r="B6" i="13"/>
  <c r="B7" i="13"/>
  <c r="B8" i="13"/>
  <c r="B3" i="13"/>
  <c r="F997" i="13"/>
  <c r="F996" i="13"/>
  <c r="F995" i="13"/>
  <c r="F994" i="13"/>
  <c r="F993" i="13"/>
  <c r="F992" i="13"/>
  <c r="F991" i="13"/>
  <c r="F990" i="13"/>
  <c r="F989" i="13"/>
  <c r="F988" i="13"/>
  <c r="F987" i="13"/>
  <c r="F986" i="13"/>
  <c r="F985" i="13"/>
  <c r="F984" i="13"/>
  <c r="F983" i="13"/>
  <c r="F982" i="13"/>
  <c r="F981" i="13"/>
  <c r="F980" i="13"/>
  <c r="F979" i="13"/>
  <c r="F978" i="13"/>
  <c r="F977" i="13"/>
  <c r="F976" i="13"/>
  <c r="F975" i="13"/>
  <c r="F974" i="13"/>
  <c r="F973" i="13"/>
  <c r="F972" i="13"/>
  <c r="F971" i="13"/>
  <c r="F970" i="13"/>
  <c r="F969" i="13"/>
  <c r="F968" i="13"/>
  <c r="F967" i="13"/>
  <c r="F966" i="13"/>
  <c r="F965" i="13"/>
  <c r="F964" i="13"/>
  <c r="F963" i="13"/>
  <c r="F962" i="13"/>
  <c r="F961" i="13"/>
  <c r="F960" i="13"/>
  <c r="F959" i="13"/>
  <c r="F958" i="13"/>
  <c r="F957" i="13"/>
  <c r="F956" i="13"/>
  <c r="F955" i="13"/>
  <c r="F954" i="13"/>
  <c r="F953" i="13"/>
  <c r="F952" i="13"/>
  <c r="F951" i="13"/>
  <c r="F950" i="13"/>
  <c r="F949" i="13"/>
  <c r="F948" i="13"/>
  <c r="F947" i="13"/>
  <c r="F946" i="13"/>
  <c r="F945" i="13"/>
  <c r="F944" i="13"/>
  <c r="F943" i="13"/>
  <c r="F942" i="13"/>
  <c r="F941" i="13"/>
  <c r="F940" i="13"/>
  <c r="F939" i="13"/>
  <c r="F938" i="13"/>
  <c r="F937" i="13"/>
  <c r="F936" i="13"/>
  <c r="F935" i="13"/>
  <c r="F934" i="13"/>
  <c r="F933" i="13"/>
  <c r="F932" i="13"/>
  <c r="F931" i="13"/>
  <c r="F930" i="13"/>
  <c r="F929" i="13"/>
  <c r="F928" i="13"/>
  <c r="F927" i="13"/>
  <c r="F926" i="13"/>
  <c r="F925" i="13"/>
  <c r="F924" i="13"/>
  <c r="F923" i="13"/>
  <c r="F922" i="13"/>
  <c r="F921" i="13"/>
  <c r="F920" i="13"/>
  <c r="F919" i="13"/>
  <c r="F918" i="13"/>
  <c r="F917" i="13"/>
  <c r="F916" i="13"/>
  <c r="F915" i="13"/>
  <c r="F914" i="13"/>
  <c r="F913" i="13"/>
  <c r="F912" i="13"/>
  <c r="F911" i="13"/>
  <c r="F910" i="13"/>
  <c r="F909" i="13"/>
  <c r="F908" i="13"/>
  <c r="F907" i="13"/>
  <c r="F906" i="13"/>
  <c r="F905" i="13"/>
  <c r="F904" i="13"/>
  <c r="F903" i="13"/>
  <c r="F902" i="13"/>
  <c r="F901" i="13"/>
  <c r="F900" i="13"/>
  <c r="F899" i="13"/>
  <c r="F898" i="13"/>
  <c r="F897" i="13"/>
  <c r="F896" i="13"/>
  <c r="F895" i="13"/>
  <c r="F894" i="13"/>
  <c r="F893" i="13"/>
  <c r="F892" i="13"/>
  <c r="F891" i="13"/>
  <c r="F890" i="13"/>
  <c r="F889" i="13"/>
  <c r="F888" i="13"/>
  <c r="F887" i="13"/>
  <c r="F886" i="13"/>
  <c r="F885" i="13"/>
  <c r="F884" i="13"/>
  <c r="F883" i="13"/>
  <c r="F882" i="13"/>
  <c r="F881" i="13"/>
  <c r="F880" i="13"/>
  <c r="F879" i="13"/>
  <c r="F878" i="13"/>
  <c r="F877" i="13"/>
  <c r="F876" i="13"/>
  <c r="F875" i="13"/>
  <c r="F874" i="13"/>
  <c r="F873" i="13"/>
  <c r="F872" i="13"/>
  <c r="F871" i="13"/>
  <c r="F870" i="13"/>
  <c r="F869" i="13"/>
  <c r="F868" i="13"/>
  <c r="F867" i="13"/>
  <c r="F866" i="13"/>
  <c r="F865" i="13"/>
  <c r="F864" i="13"/>
  <c r="F863" i="13"/>
  <c r="F862" i="13"/>
  <c r="F861" i="13"/>
  <c r="F860" i="13"/>
  <c r="F859" i="13"/>
  <c r="F858" i="13"/>
  <c r="F857" i="13"/>
  <c r="F856" i="13"/>
  <c r="F855" i="13"/>
  <c r="F854" i="13"/>
  <c r="F853" i="13"/>
  <c r="F852" i="13"/>
  <c r="F851" i="13"/>
  <c r="F850" i="13"/>
  <c r="F849" i="13"/>
  <c r="F848" i="13"/>
  <c r="F847" i="13"/>
  <c r="F846" i="13"/>
  <c r="F845" i="13"/>
  <c r="F844" i="13"/>
  <c r="F843" i="13"/>
  <c r="F842" i="13"/>
  <c r="F841" i="13"/>
  <c r="F840" i="13"/>
  <c r="F839" i="13"/>
  <c r="F838" i="13"/>
  <c r="F837" i="13"/>
  <c r="F836" i="13"/>
  <c r="F835" i="13"/>
  <c r="F834" i="13"/>
  <c r="F833" i="13"/>
  <c r="F832" i="13"/>
  <c r="F831" i="13"/>
  <c r="F830" i="13"/>
  <c r="F829" i="13"/>
  <c r="F828" i="13"/>
  <c r="F827" i="13"/>
  <c r="F826" i="13"/>
  <c r="F825" i="13"/>
  <c r="F824" i="13"/>
  <c r="F823" i="13"/>
  <c r="F822" i="13"/>
  <c r="F821" i="13"/>
  <c r="F820" i="13"/>
  <c r="F819" i="13"/>
  <c r="F818" i="13"/>
  <c r="F817" i="13"/>
  <c r="F816" i="13"/>
  <c r="F815" i="13"/>
  <c r="F814" i="13"/>
  <c r="F813" i="13"/>
  <c r="F812" i="13"/>
  <c r="F811" i="13"/>
  <c r="F810" i="13"/>
  <c r="F809" i="13"/>
  <c r="F808" i="13"/>
  <c r="F807" i="13"/>
  <c r="F806" i="13"/>
  <c r="F805" i="13"/>
  <c r="F804" i="13"/>
  <c r="F803" i="13"/>
  <c r="F802" i="13"/>
  <c r="F801" i="13"/>
  <c r="F800" i="13"/>
  <c r="F799" i="13"/>
  <c r="F798" i="13"/>
  <c r="F797" i="13"/>
  <c r="F796" i="13"/>
  <c r="F795" i="13"/>
  <c r="F794" i="13"/>
  <c r="F793" i="13"/>
  <c r="F792" i="13"/>
  <c r="F791" i="13"/>
  <c r="F790" i="13"/>
  <c r="F789" i="13"/>
  <c r="F788" i="13"/>
  <c r="F787" i="13"/>
  <c r="F786" i="13"/>
  <c r="F785" i="13"/>
  <c r="F784" i="13"/>
  <c r="F783" i="13"/>
  <c r="F782" i="13"/>
  <c r="F781" i="13"/>
  <c r="F780" i="13"/>
  <c r="F779" i="13"/>
  <c r="F778" i="13"/>
  <c r="F777" i="13"/>
  <c r="F776" i="13"/>
  <c r="F775" i="13"/>
  <c r="F774" i="13"/>
  <c r="F773" i="13"/>
  <c r="F772" i="13"/>
  <c r="F771" i="13"/>
  <c r="F770" i="13"/>
  <c r="F769" i="13"/>
  <c r="F768" i="13"/>
  <c r="F767" i="13"/>
  <c r="F766" i="13"/>
  <c r="F765" i="13"/>
  <c r="F764" i="13"/>
  <c r="F763" i="13"/>
  <c r="F762" i="13"/>
  <c r="F761" i="13"/>
  <c r="F760" i="13"/>
  <c r="F759" i="13"/>
  <c r="F758" i="13"/>
  <c r="F757" i="13"/>
  <c r="F756" i="13"/>
  <c r="F755" i="13"/>
  <c r="F754" i="13"/>
  <c r="F753" i="13"/>
  <c r="F752" i="13"/>
  <c r="F751" i="13"/>
  <c r="F750" i="13"/>
  <c r="F749" i="13"/>
  <c r="F748" i="13"/>
  <c r="F747" i="13"/>
  <c r="F746" i="13"/>
  <c r="F745" i="13"/>
  <c r="F744" i="13"/>
  <c r="F743" i="13"/>
  <c r="F742" i="13"/>
  <c r="F741" i="13"/>
  <c r="F740" i="13"/>
  <c r="F739" i="13"/>
  <c r="F738" i="13"/>
  <c r="F737" i="13"/>
  <c r="F736" i="13"/>
  <c r="F735" i="13"/>
  <c r="F734" i="13"/>
  <c r="F733" i="13"/>
  <c r="F732" i="13"/>
  <c r="F731" i="13"/>
  <c r="F730" i="13"/>
  <c r="F729" i="13"/>
  <c r="F728" i="13"/>
  <c r="F727" i="13"/>
  <c r="F726" i="13"/>
  <c r="F725" i="13"/>
  <c r="F724" i="13"/>
  <c r="F723" i="13"/>
  <c r="F722" i="13"/>
  <c r="F721" i="13"/>
  <c r="F720" i="13"/>
  <c r="F719" i="13"/>
  <c r="F718" i="13"/>
  <c r="F717" i="13"/>
  <c r="F716" i="13"/>
  <c r="F715" i="13"/>
  <c r="F714" i="13"/>
  <c r="F713" i="13"/>
  <c r="F712" i="13"/>
  <c r="F711" i="13"/>
  <c r="F710" i="13"/>
  <c r="F709" i="13"/>
  <c r="F708" i="13"/>
  <c r="F707" i="13"/>
  <c r="F706" i="13"/>
  <c r="F705" i="13"/>
  <c r="F704" i="13"/>
  <c r="F703" i="13"/>
  <c r="F702" i="13"/>
  <c r="F701" i="13"/>
  <c r="F700" i="13"/>
  <c r="F699" i="13"/>
  <c r="F698" i="13"/>
  <c r="F697" i="13"/>
  <c r="F696" i="13"/>
  <c r="F695" i="13"/>
  <c r="F694" i="13"/>
  <c r="F693" i="13"/>
  <c r="F692" i="13"/>
  <c r="F691" i="13"/>
  <c r="F690" i="13"/>
  <c r="F689" i="13"/>
  <c r="F688" i="13"/>
  <c r="F687" i="13"/>
  <c r="F686" i="13"/>
  <c r="F685" i="13"/>
  <c r="F684" i="13"/>
  <c r="F683" i="13"/>
  <c r="F682" i="13"/>
  <c r="F681" i="13"/>
  <c r="F680" i="13"/>
  <c r="F679" i="13"/>
  <c r="F678" i="13"/>
  <c r="F677" i="13"/>
  <c r="F676" i="13"/>
  <c r="F675" i="13"/>
  <c r="F674" i="13"/>
  <c r="F673" i="13"/>
  <c r="F672" i="13"/>
  <c r="F671" i="13"/>
  <c r="F670" i="13"/>
  <c r="F669" i="13"/>
  <c r="F668" i="13"/>
  <c r="F667" i="13"/>
  <c r="F666" i="13"/>
  <c r="F665" i="13"/>
  <c r="F664" i="13"/>
  <c r="F663" i="13"/>
  <c r="F662" i="13"/>
  <c r="F661" i="13"/>
  <c r="F660" i="13"/>
  <c r="F659" i="13"/>
  <c r="F658" i="13"/>
  <c r="F657" i="13"/>
  <c r="F656" i="13"/>
  <c r="F655" i="13"/>
  <c r="F654" i="13"/>
  <c r="F653" i="13"/>
  <c r="F652" i="13"/>
  <c r="F651" i="13"/>
  <c r="F650" i="13"/>
  <c r="F649" i="13"/>
  <c r="F648" i="13"/>
  <c r="F647" i="13"/>
  <c r="F646" i="13"/>
  <c r="F645" i="13"/>
  <c r="F644" i="13"/>
  <c r="F643" i="13"/>
  <c r="F642" i="13"/>
  <c r="F641" i="13"/>
  <c r="F640" i="13"/>
  <c r="F639" i="13"/>
  <c r="F638" i="13"/>
  <c r="F637" i="13"/>
  <c r="F636" i="13"/>
  <c r="F635" i="13"/>
  <c r="F634" i="13"/>
  <c r="F633" i="13"/>
  <c r="F632" i="13"/>
  <c r="F631" i="13"/>
  <c r="F630" i="13"/>
  <c r="F629" i="13"/>
  <c r="F628" i="13"/>
  <c r="F627" i="13"/>
  <c r="F626" i="13"/>
  <c r="F625" i="13"/>
  <c r="F624" i="13"/>
  <c r="F623" i="13"/>
  <c r="F622" i="13"/>
  <c r="F621" i="13"/>
  <c r="F620" i="13"/>
  <c r="F619" i="13"/>
  <c r="F618" i="13"/>
  <c r="F617" i="13"/>
  <c r="F616" i="13"/>
  <c r="F615" i="13"/>
  <c r="F614" i="13"/>
  <c r="F613" i="13"/>
  <c r="F612" i="13"/>
  <c r="F611" i="13"/>
  <c r="F610" i="13"/>
  <c r="F609" i="13"/>
  <c r="F608" i="13"/>
  <c r="F607" i="13"/>
  <c r="F606" i="13"/>
  <c r="F605" i="13"/>
  <c r="F604" i="13"/>
  <c r="F603" i="13"/>
  <c r="F602" i="13"/>
  <c r="F601" i="13"/>
  <c r="F600" i="13"/>
  <c r="F599" i="13"/>
  <c r="F598" i="13"/>
  <c r="F597" i="13"/>
  <c r="F596" i="13"/>
  <c r="F595" i="13"/>
  <c r="F594" i="13"/>
  <c r="F593" i="13"/>
  <c r="F592" i="13"/>
  <c r="F591" i="13"/>
  <c r="F590" i="13"/>
  <c r="F589" i="13"/>
  <c r="F588" i="13"/>
  <c r="F587" i="13"/>
  <c r="F586" i="13"/>
  <c r="F585" i="13"/>
  <c r="F584" i="13"/>
  <c r="F583" i="13"/>
  <c r="F582" i="13"/>
  <c r="F581" i="13"/>
  <c r="F580" i="13"/>
  <c r="F579" i="13"/>
  <c r="F578" i="13"/>
  <c r="F577" i="13"/>
  <c r="F576" i="13"/>
  <c r="F575" i="13"/>
  <c r="F574" i="13"/>
  <c r="F573" i="13"/>
  <c r="F572" i="13"/>
  <c r="F571" i="13"/>
  <c r="F570" i="13"/>
  <c r="F569" i="13"/>
  <c r="F568" i="13"/>
  <c r="F567" i="13"/>
  <c r="F566" i="13"/>
  <c r="F565" i="13"/>
  <c r="F564" i="13"/>
  <c r="F563" i="13"/>
  <c r="F562" i="13"/>
  <c r="F561" i="13"/>
  <c r="F560" i="13"/>
  <c r="F559" i="13"/>
  <c r="F558" i="13"/>
  <c r="F557" i="13"/>
  <c r="F556" i="13"/>
  <c r="F555" i="13"/>
  <c r="F554" i="13"/>
  <c r="F553" i="13"/>
  <c r="F552" i="13"/>
  <c r="F551" i="13"/>
  <c r="F550" i="13"/>
  <c r="F549" i="13"/>
  <c r="F548" i="13"/>
  <c r="F547" i="13"/>
  <c r="F546" i="13"/>
  <c r="F545" i="13"/>
  <c r="F544" i="13"/>
  <c r="F543" i="13"/>
  <c r="F542" i="13"/>
  <c r="F541" i="13"/>
  <c r="F540" i="13"/>
  <c r="F539" i="13"/>
  <c r="F538" i="13"/>
  <c r="F537" i="13"/>
  <c r="F536" i="13"/>
  <c r="F535" i="13"/>
  <c r="F534" i="13"/>
  <c r="F533" i="13"/>
  <c r="F532" i="13"/>
  <c r="F531" i="13"/>
  <c r="F530" i="13"/>
  <c r="F529" i="13"/>
  <c r="F528" i="13"/>
  <c r="F527" i="13"/>
  <c r="F526" i="13"/>
  <c r="F525" i="13"/>
  <c r="F524" i="13"/>
  <c r="F523" i="13"/>
  <c r="F522" i="13"/>
  <c r="F521" i="13"/>
  <c r="F520" i="13"/>
  <c r="F519" i="13"/>
  <c r="F518" i="13"/>
  <c r="F517" i="13"/>
  <c r="F516" i="13"/>
  <c r="F515" i="13"/>
  <c r="F514" i="13"/>
  <c r="F513" i="13"/>
  <c r="F512" i="13"/>
  <c r="F511" i="13"/>
  <c r="F510" i="13"/>
  <c r="F509" i="13"/>
  <c r="F508" i="13"/>
  <c r="F507" i="13"/>
  <c r="F506" i="13"/>
  <c r="F505" i="13"/>
  <c r="F504" i="13"/>
  <c r="F503" i="13"/>
  <c r="F502" i="13"/>
  <c r="F501" i="13"/>
  <c r="F500" i="13"/>
  <c r="F499" i="13"/>
  <c r="F498" i="13"/>
  <c r="F497" i="13"/>
  <c r="F496" i="13"/>
  <c r="F495" i="13"/>
  <c r="F494" i="13"/>
  <c r="F493" i="13"/>
  <c r="F492" i="13"/>
  <c r="F491" i="13"/>
  <c r="F490" i="13"/>
  <c r="F489" i="13"/>
  <c r="F488" i="13"/>
  <c r="F487" i="13"/>
  <c r="F486" i="13"/>
  <c r="F485" i="13"/>
  <c r="F484" i="13"/>
  <c r="F483" i="13"/>
  <c r="F482" i="13"/>
  <c r="F481" i="13"/>
  <c r="F480" i="13"/>
  <c r="F479" i="13"/>
  <c r="F478" i="13"/>
  <c r="F477" i="13"/>
  <c r="F476" i="13"/>
  <c r="F475" i="13"/>
  <c r="F474" i="13"/>
  <c r="F473" i="13"/>
  <c r="F472" i="13"/>
  <c r="F471" i="13"/>
  <c r="F470" i="13"/>
  <c r="F469" i="13"/>
  <c r="F468" i="13"/>
  <c r="F467" i="13"/>
  <c r="F466" i="13"/>
  <c r="F465" i="13"/>
  <c r="F464" i="13"/>
  <c r="F463" i="13"/>
  <c r="F462" i="13"/>
  <c r="F461" i="13"/>
  <c r="F460" i="13"/>
  <c r="F459" i="13"/>
  <c r="F458" i="13"/>
  <c r="F457" i="13"/>
  <c r="F456" i="13"/>
  <c r="F455" i="13"/>
  <c r="F454" i="13"/>
  <c r="F453" i="13"/>
  <c r="F452" i="13"/>
  <c r="F451" i="13"/>
  <c r="F450" i="13"/>
  <c r="F449" i="13"/>
  <c r="F448" i="13"/>
  <c r="F447" i="13"/>
  <c r="F446" i="13"/>
  <c r="F445" i="13"/>
  <c r="F444" i="13"/>
  <c r="F443" i="13"/>
  <c r="F442" i="13"/>
  <c r="F441" i="13"/>
  <c r="F440" i="13"/>
  <c r="F439" i="13"/>
  <c r="F438" i="13"/>
  <c r="F437" i="13"/>
  <c r="F436" i="13"/>
  <c r="F435" i="13"/>
  <c r="F434" i="13"/>
  <c r="F433" i="13"/>
  <c r="F432" i="13"/>
  <c r="F431" i="13"/>
  <c r="F430" i="13"/>
  <c r="F429" i="13"/>
  <c r="F428" i="13"/>
  <c r="F427" i="13"/>
  <c r="F426" i="13"/>
  <c r="F425" i="13"/>
  <c r="F424" i="13"/>
  <c r="F423" i="13"/>
  <c r="F422" i="13"/>
  <c r="F421" i="13"/>
  <c r="F420" i="13"/>
  <c r="F419" i="13"/>
  <c r="F418" i="13"/>
  <c r="F417" i="13"/>
  <c r="F416" i="13"/>
  <c r="F415" i="13"/>
  <c r="F414" i="13"/>
  <c r="F413" i="13"/>
  <c r="F412" i="13"/>
  <c r="F411" i="13"/>
  <c r="F410" i="13"/>
  <c r="F409" i="13"/>
  <c r="F408" i="13"/>
  <c r="F407" i="13"/>
  <c r="F406" i="13"/>
  <c r="F405" i="13"/>
  <c r="F404" i="13"/>
  <c r="F403" i="13"/>
  <c r="F402" i="13"/>
  <c r="F401" i="13"/>
  <c r="F400" i="13"/>
  <c r="F399" i="13"/>
  <c r="F398" i="13"/>
  <c r="F397" i="13"/>
  <c r="F396" i="13"/>
  <c r="F395" i="13"/>
  <c r="F394" i="13"/>
  <c r="F393" i="13"/>
  <c r="F392" i="13"/>
  <c r="F391" i="13"/>
  <c r="F390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50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34" i="13"/>
  <c r="F333" i="13"/>
  <c r="F332" i="13"/>
  <c r="F331" i="13"/>
  <c r="F330" i="13"/>
  <c r="F329" i="13"/>
  <c r="F328" i="13"/>
  <c r="F327" i="13"/>
  <c r="F326" i="13"/>
  <c r="F325" i="13"/>
  <c r="F324" i="13"/>
  <c r="F323" i="13"/>
  <c r="F322" i="13"/>
  <c r="F321" i="13"/>
  <c r="F320" i="13"/>
  <c r="F319" i="13"/>
  <c r="F318" i="13"/>
  <c r="F317" i="13"/>
  <c r="F316" i="13"/>
  <c r="F315" i="13"/>
  <c r="F314" i="13"/>
  <c r="F313" i="13"/>
  <c r="F312" i="13"/>
  <c r="F311" i="13"/>
  <c r="F310" i="13"/>
  <c r="F309" i="13"/>
  <c r="F308" i="13"/>
  <c r="F307" i="13"/>
  <c r="F306" i="13"/>
  <c r="F305" i="13"/>
  <c r="F304" i="13"/>
  <c r="F303" i="13"/>
  <c r="F302" i="13"/>
  <c r="F301" i="13"/>
  <c r="F300" i="13"/>
  <c r="F299" i="13"/>
  <c r="F298" i="13"/>
  <c r="F297" i="13"/>
  <c r="F296" i="13"/>
  <c r="F295" i="13"/>
  <c r="F294" i="13"/>
  <c r="F293" i="13"/>
  <c r="F292" i="13"/>
  <c r="F291" i="13"/>
  <c r="F290" i="13"/>
  <c r="F289" i="13"/>
  <c r="F288" i="13"/>
  <c r="F287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8" i="13"/>
  <c r="F267" i="13"/>
  <c r="F266" i="13"/>
  <c r="F265" i="13"/>
  <c r="F264" i="13"/>
  <c r="F263" i="13"/>
  <c r="F262" i="13"/>
  <c r="F261" i="13"/>
  <c r="F260" i="13"/>
  <c r="F259" i="13"/>
  <c r="F258" i="13"/>
  <c r="F257" i="13"/>
  <c r="F256" i="13"/>
  <c r="F255" i="13"/>
  <c r="F254" i="13"/>
  <c r="F253" i="13"/>
  <c r="F252" i="13"/>
  <c r="F251" i="13"/>
  <c r="F250" i="13"/>
  <c r="F249" i="13"/>
  <c r="F248" i="13"/>
  <c r="F247" i="13"/>
  <c r="F246" i="13"/>
  <c r="F245" i="13"/>
  <c r="F244" i="13"/>
  <c r="F243" i="13"/>
  <c r="F242" i="13"/>
  <c r="F241" i="13"/>
  <c r="F240" i="13"/>
  <c r="F239" i="13"/>
  <c r="F238" i="13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999" i="13" l="1"/>
  <c r="D25" i="1" s="1"/>
  <c r="A11" i="2"/>
  <c r="C38" i="16"/>
  <c r="C39" i="16" s="1"/>
  <c r="D36" i="16" s="1"/>
  <c r="C19" i="16"/>
  <c r="F41" i="2"/>
  <c r="D23" i="16" l="1"/>
  <c r="D24" i="16"/>
  <c r="D25" i="16"/>
  <c r="D26" i="16"/>
  <c r="D27" i="16"/>
  <c r="D28" i="16"/>
  <c r="D30" i="16"/>
  <c r="D31" i="16"/>
  <c r="D32" i="16"/>
  <c r="D34" i="16"/>
  <c r="D33" i="16"/>
  <c r="D29" i="16"/>
  <c r="D14" i="16"/>
  <c r="D2" i="16"/>
  <c r="D9" i="16"/>
  <c r="D11" i="16"/>
  <c r="D12" i="16"/>
  <c r="D3" i="16"/>
  <c r="D15" i="16"/>
  <c r="D16" i="16"/>
  <c r="D17" i="16"/>
  <c r="D6" i="16"/>
  <c r="D7" i="16"/>
  <c r="D8" i="16"/>
  <c r="D4" i="16"/>
  <c r="D10" i="16"/>
  <c r="D13" i="16"/>
  <c r="D5" i="16"/>
  <c r="D35" i="16"/>
  <c r="D22" i="16"/>
  <c r="D37" i="16"/>
  <c r="G693" i="15"/>
  <c r="G692" i="15"/>
  <c r="G691" i="15"/>
  <c r="G690" i="15"/>
  <c r="G689" i="15"/>
  <c r="G688" i="15"/>
  <c r="G687" i="15"/>
  <c r="G686" i="15"/>
  <c r="G685" i="15"/>
  <c r="G684" i="15"/>
  <c r="G683" i="15"/>
  <c r="G682" i="15"/>
  <c r="G681" i="15"/>
  <c r="G680" i="15"/>
  <c r="G679" i="15"/>
  <c r="G678" i="15"/>
  <c r="G677" i="15"/>
  <c r="G676" i="15"/>
  <c r="G675" i="15"/>
  <c r="G674" i="15"/>
  <c r="G673" i="15"/>
  <c r="G672" i="15"/>
  <c r="G671" i="15"/>
  <c r="G670" i="15"/>
  <c r="G669" i="15"/>
  <c r="G668" i="15"/>
  <c r="G667" i="15"/>
  <c r="G666" i="15"/>
  <c r="G665" i="15"/>
  <c r="G664" i="15"/>
  <c r="G663" i="15"/>
  <c r="G662" i="15"/>
  <c r="G661" i="15"/>
  <c r="G660" i="15"/>
  <c r="G659" i="15"/>
  <c r="G658" i="15"/>
  <c r="G657" i="15"/>
  <c r="G656" i="15"/>
  <c r="G655" i="15"/>
  <c r="G654" i="15"/>
  <c r="G653" i="15"/>
  <c r="G652" i="15"/>
  <c r="G651" i="15"/>
  <c r="G650" i="15"/>
  <c r="G649" i="15"/>
  <c r="G648" i="15"/>
  <c r="G647" i="15"/>
  <c r="G646" i="15"/>
  <c r="G645" i="15"/>
  <c r="G644" i="15"/>
  <c r="G643" i="15"/>
  <c r="G642" i="15"/>
  <c r="G641" i="15"/>
  <c r="G640" i="15"/>
  <c r="G639" i="15"/>
  <c r="G638" i="15"/>
  <c r="G637" i="15"/>
  <c r="G636" i="15"/>
  <c r="G635" i="15"/>
  <c r="G634" i="15"/>
  <c r="G633" i="15"/>
  <c r="G632" i="15"/>
  <c r="G631" i="15"/>
  <c r="G630" i="15"/>
  <c r="G629" i="15"/>
  <c r="G628" i="15"/>
  <c r="G627" i="15"/>
  <c r="G626" i="15"/>
  <c r="G625" i="15"/>
  <c r="G624" i="15"/>
  <c r="G623" i="15"/>
  <c r="G622" i="15"/>
  <c r="G621" i="15"/>
  <c r="G620" i="15"/>
  <c r="G619" i="15"/>
  <c r="G618" i="15"/>
  <c r="G617" i="15"/>
  <c r="G616" i="15"/>
  <c r="G615" i="15"/>
  <c r="G614" i="15"/>
  <c r="G613" i="15"/>
  <c r="G612" i="15"/>
  <c r="G611" i="15"/>
  <c r="G610" i="15"/>
  <c r="G609" i="15"/>
  <c r="G608" i="15"/>
  <c r="G607" i="15"/>
  <c r="G606" i="15"/>
  <c r="G605" i="15"/>
  <c r="G604" i="15"/>
  <c r="G603" i="15"/>
  <c r="G602" i="15"/>
  <c r="G601" i="15"/>
  <c r="G600" i="15"/>
  <c r="G599" i="15"/>
  <c r="G598" i="15"/>
  <c r="G597" i="15"/>
  <c r="G596" i="15"/>
  <c r="G595" i="15"/>
  <c r="G594" i="15"/>
  <c r="G593" i="15"/>
  <c r="G592" i="15"/>
  <c r="G591" i="15"/>
  <c r="G590" i="15"/>
  <c r="G589" i="15"/>
  <c r="G588" i="15"/>
  <c r="G587" i="15"/>
  <c r="G586" i="15"/>
  <c r="G585" i="15"/>
  <c r="G584" i="15"/>
  <c r="G583" i="15"/>
  <c r="G582" i="15"/>
  <c r="G581" i="15"/>
  <c r="G580" i="15"/>
  <c r="G579" i="15"/>
  <c r="G578" i="15"/>
  <c r="G577" i="15"/>
  <c r="G576" i="15"/>
  <c r="G575" i="15"/>
  <c r="G574" i="15"/>
  <c r="G573" i="15"/>
  <c r="G572" i="15"/>
  <c r="G571" i="15"/>
  <c r="G570" i="15"/>
  <c r="G569" i="15"/>
  <c r="G568" i="15"/>
  <c r="G567" i="15"/>
  <c r="G566" i="15"/>
  <c r="G565" i="15"/>
  <c r="G564" i="15"/>
  <c r="G563" i="15"/>
  <c r="G562" i="15"/>
  <c r="G561" i="15"/>
  <c r="G560" i="15"/>
  <c r="G559" i="15"/>
  <c r="G558" i="15"/>
  <c r="G557" i="15"/>
  <c r="G556" i="15"/>
  <c r="G555" i="15"/>
  <c r="G554" i="15"/>
  <c r="G553" i="15"/>
  <c r="G552" i="15"/>
  <c r="G551" i="15"/>
  <c r="G550" i="15"/>
  <c r="G549" i="15"/>
  <c r="G548" i="15"/>
  <c r="G547" i="15"/>
  <c r="G546" i="15"/>
  <c r="G545" i="15"/>
  <c r="G544" i="15"/>
  <c r="G543" i="15"/>
  <c r="G542" i="15"/>
  <c r="G541" i="15"/>
  <c r="G540" i="15"/>
  <c r="G539" i="15"/>
  <c r="G538" i="15"/>
  <c r="G537" i="15"/>
  <c r="G536" i="15"/>
  <c r="G535" i="15"/>
  <c r="G534" i="15"/>
  <c r="G533" i="15"/>
  <c r="G532" i="15"/>
  <c r="G531" i="15"/>
  <c r="G530" i="15"/>
  <c r="G529" i="15"/>
  <c r="G528" i="15"/>
  <c r="G527" i="15"/>
  <c r="G526" i="15"/>
  <c r="G525" i="15"/>
  <c r="G524" i="15"/>
  <c r="G523" i="15"/>
  <c r="G522" i="15"/>
  <c r="G521" i="15"/>
  <c r="G520" i="15"/>
  <c r="G519" i="15"/>
  <c r="G518" i="15"/>
  <c r="G517" i="15"/>
  <c r="G516" i="15"/>
  <c r="G515" i="15"/>
  <c r="G514" i="15"/>
  <c r="G513" i="15"/>
  <c r="G512" i="15"/>
  <c r="G511" i="15"/>
  <c r="G510" i="15"/>
  <c r="G509" i="15"/>
  <c r="G508" i="15"/>
  <c r="G507" i="15"/>
  <c r="G506" i="15"/>
  <c r="G505" i="15"/>
  <c r="G504" i="15"/>
  <c r="G503" i="15"/>
  <c r="G502" i="15"/>
  <c r="G501" i="15"/>
  <c r="G500" i="15"/>
  <c r="G499" i="15"/>
  <c r="G498" i="15"/>
  <c r="G497" i="15"/>
  <c r="G496" i="15"/>
  <c r="G495" i="15"/>
  <c r="G494" i="15"/>
  <c r="G493" i="15"/>
  <c r="G492" i="15"/>
  <c r="G491" i="15"/>
  <c r="G490" i="15"/>
  <c r="G489" i="15"/>
  <c r="G488" i="15"/>
  <c r="G487" i="15"/>
  <c r="G486" i="15"/>
  <c r="G485" i="15"/>
  <c r="G484" i="15"/>
  <c r="G483" i="15"/>
  <c r="G482" i="15"/>
  <c r="G481" i="15"/>
  <c r="G480" i="15"/>
  <c r="G479" i="15"/>
  <c r="G478" i="15"/>
  <c r="G477" i="15"/>
  <c r="G476" i="15"/>
  <c r="G475" i="15"/>
  <c r="G474" i="15"/>
  <c r="G473" i="15"/>
  <c r="G472" i="15"/>
  <c r="G471" i="15"/>
  <c r="G470" i="15"/>
  <c r="G469" i="15"/>
  <c r="G468" i="15"/>
  <c r="G467" i="15"/>
  <c r="G466" i="15"/>
  <c r="G465" i="15"/>
  <c r="G464" i="15"/>
  <c r="G463" i="15"/>
  <c r="G462" i="15"/>
  <c r="G461" i="15"/>
  <c r="G460" i="15"/>
  <c r="G459" i="15"/>
  <c r="G458" i="15"/>
  <c r="G457" i="15"/>
  <c r="G456" i="15"/>
  <c r="G455" i="15"/>
  <c r="G454" i="15"/>
  <c r="G453" i="15"/>
  <c r="G452" i="15"/>
  <c r="G451" i="15"/>
  <c r="G450" i="15"/>
  <c r="G449" i="15"/>
  <c r="G448" i="15"/>
  <c r="G447" i="15"/>
  <c r="G446" i="15"/>
  <c r="G445" i="15"/>
  <c r="G444" i="15"/>
  <c r="G443" i="15"/>
  <c r="G442" i="15"/>
  <c r="G441" i="15"/>
  <c r="G440" i="15"/>
  <c r="G439" i="15"/>
  <c r="G438" i="15"/>
  <c r="G437" i="15"/>
  <c r="G436" i="15"/>
  <c r="G435" i="15"/>
  <c r="G434" i="15"/>
  <c r="G433" i="15"/>
  <c r="G432" i="15"/>
  <c r="G431" i="15"/>
  <c r="G430" i="15"/>
  <c r="G429" i="15"/>
  <c r="G428" i="15"/>
  <c r="G427" i="15"/>
  <c r="G426" i="15"/>
  <c r="G425" i="15"/>
  <c r="G424" i="15"/>
  <c r="G423" i="15"/>
  <c r="G422" i="15"/>
  <c r="G421" i="15"/>
  <c r="G420" i="15"/>
  <c r="G419" i="15"/>
  <c r="G418" i="15"/>
  <c r="G417" i="15"/>
  <c r="G416" i="15"/>
  <c r="G415" i="15"/>
  <c r="G414" i="15"/>
  <c r="G413" i="15"/>
  <c r="G412" i="15"/>
  <c r="G411" i="15"/>
  <c r="G410" i="15"/>
  <c r="G409" i="15"/>
  <c r="G408" i="15"/>
  <c r="G407" i="15"/>
  <c r="G406" i="15"/>
  <c r="G405" i="15"/>
  <c r="G404" i="15"/>
  <c r="G403" i="15"/>
  <c r="G402" i="15"/>
  <c r="G401" i="15"/>
  <c r="G400" i="15"/>
  <c r="G399" i="15"/>
  <c r="G398" i="15"/>
  <c r="G397" i="15"/>
  <c r="G396" i="15"/>
  <c r="G395" i="15"/>
  <c r="G394" i="15"/>
  <c r="G393" i="15"/>
  <c r="G392" i="15"/>
  <c r="G391" i="15"/>
  <c r="G390" i="15"/>
  <c r="G389" i="15"/>
  <c r="G388" i="15"/>
  <c r="G387" i="15"/>
  <c r="G386" i="15"/>
  <c r="G385" i="15"/>
  <c r="G384" i="15"/>
  <c r="G383" i="15"/>
  <c r="G382" i="15"/>
  <c r="G381" i="15"/>
  <c r="G380" i="15"/>
  <c r="G379" i="15"/>
  <c r="G378" i="15"/>
  <c r="G377" i="15"/>
  <c r="G376" i="15"/>
  <c r="G375" i="15"/>
  <c r="G374" i="15"/>
  <c r="G373" i="15"/>
  <c r="G372" i="15"/>
  <c r="G371" i="15"/>
  <c r="G370" i="15"/>
  <c r="G369" i="15"/>
  <c r="G368" i="15"/>
  <c r="G367" i="15"/>
  <c r="G366" i="15"/>
  <c r="G365" i="15"/>
  <c r="G364" i="15"/>
  <c r="G363" i="15"/>
  <c r="G362" i="15"/>
  <c r="G361" i="15"/>
  <c r="G360" i="15"/>
  <c r="G359" i="15"/>
  <c r="G358" i="15"/>
  <c r="G357" i="15"/>
  <c r="G356" i="15"/>
  <c r="G355" i="15"/>
  <c r="G354" i="15"/>
  <c r="G353" i="15"/>
  <c r="G352" i="15"/>
  <c r="G351" i="15"/>
  <c r="G350" i="15"/>
  <c r="G349" i="15"/>
  <c r="G348" i="15"/>
  <c r="G347" i="15"/>
  <c r="G346" i="15"/>
  <c r="G345" i="15"/>
  <c r="G344" i="15"/>
  <c r="G343" i="15"/>
  <c r="G342" i="15"/>
  <c r="G341" i="15"/>
  <c r="G340" i="15"/>
  <c r="G339" i="15"/>
  <c r="G338" i="15"/>
  <c r="G337" i="15"/>
  <c r="G336" i="15"/>
  <c r="G335" i="15"/>
  <c r="G334" i="15"/>
  <c r="G333" i="15"/>
  <c r="G332" i="15"/>
  <c r="G331" i="15"/>
  <c r="G330" i="15"/>
  <c r="G329" i="15"/>
  <c r="G328" i="15"/>
  <c r="G327" i="15"/>
  <c r="G326" i="15"/>
  <c r="G325" i="15"/>
  <c r="G324" i="15"/>
  <c r="G323" i="15"/>
  <c r="G322" i="15"/>
  <c r="G321" i="15"/>
  <c r="G320" i="15"/>
  <c r="G319" i="15"/>
  <c r="G318" i="15"/>
  <c r="G317" i="15"/>
  <c r="G316" i="15"/>
  <c r="G315" i="15"/>
  <c r="G314" i="15"/>
  <c r="G313" i="15"/>
  <c r="G312" i="15"/>
  <c r="G311" i="15"/>
  <c r="G310" i="15"/>
  <c r="G309" i="15"/>
  <c r="G308" i="15"/>
  <c r="G307" i="15"/>
  <c r="G306" i="15"/>
  <c r="G305" i="15"/>
  <c r="G304" i="15"/>
  <c r="G303" i="15"/>
  <c r="G302" i="15"/>
  <c r="G301" i="15"/>
  <c r="G300" i="15"/>
  <c r="G299" i="15"/>
  <c r="G298" i="15"/>
  <c r="G297" i="15"/>
  <c r="G296" i="15"/>
  <c r="G295" i="15"/>
  <c r="G294" i="15"/>
  <c r="G293" i="15"/>
  <c r="G292" i="15"/>
  <c r="G291" i="15"/>
  <c r="G290" i="15"/>
  <c r="G289" i="15"/>
  <c r="G288" i="15"/>
  <c r="G287" i="15"/>
  <c r="G286" i="15"/>
  <c r="G285" i="15"/>
  <c r="G284" i="15"/>
  <c r="G283" i="15"/>
  <c r="G282" i="15"/>
  <c r="G281" i="15"/>
  <c r="G280" i="15"/>
  <c r="G279" i="15"/>
  <c r="G278" i="15"/>
  <c r="G277" i="15"/>
  <c r="G276" i="15"/>
  <c r="G275" i="15"/>
  <c r="G274" i="15"/>
  <c r="G273" i="15"/>
  <c r="G272" i="15"/>
  <c r="G271" i="15"/>
  <c r="G270" i="15"/>
  <c r="G269" i="15"/>
  <c r="G268" i="15"/>
  <c r="G267" i="15"/>
  <c r="G266" i="15"/>
  <c r="G265" i="15"/>
  <c r="G264" i="15"/>
  <c r="G263" i="15"/>
  <c r="G262" i="15"/>
  <c r="G261" i="15"/>
  <c r="G260" i="15"/>
  <c r="G259" i="15"/>
  <c r="G258" i="15"/>
  <c r="G257" i="15"/>
  <c r="G256" i="15"/>
  <c r="G255" i="15"/>
  <c r="G254" i="15"/>
  <c r="G253" i="15"/>
  <c r="G252" i="15"/>
  <c r="G251" i="15"/>
  <c r="G250" i="15"/>
  <c r="G249" i="15"/>
  <c r="G248" i="15"/>
  <c r="G247" i="15"/>
  <c r="G246" i="15"/>
  <c r="G245" i="15"/>
  <c r="G244" i="15"/>
  <c r="G243" i="15"/>
  <c r="G242" i="15"/>
  <c r="G241" i="15"/>
  <c r="G240" i="15"/>
  <c r="G239" i="15"/>
  <c r="G238" i="15"/>
  <c r="G237" i="15"/>
  <c r="G236" i="15"/>
  <c r="G235" i="15"/>
  <c r="G234" i="15"/>
  <c r="G233" i="15"/>
  <c r="G232" i="15"/>
  <c r="G231" i="15"/>
  <c r="G230" i="15"/>
  <c r="G229" i="15"/>
  <c r="G228" i="15"/>
  <c r="G227" i="15"/>
  <c r="G226" i="15"/>
  <c r="G225" i="15"/>
  <c r="G224" i="15"/>
  <c r="G223" i="15"/>
  <c r="G222" i="15"/>
  <c r="G221" i="15"/>
  <c r="G220" i="15"/>
  <c r="G219" i="15"/>
  <c r="G218" i="15"/>
  <c r="G217" i="15"/>
  <c r="G216" i="15"/>
  <c r="G215" i="15"/>
  <c r="G214" i="15"/>
  <c r="G213" i="15"/>
  <c r="G212" i="15"/>
  <c r="G211" i="15"/>
  <c r="G210" i="15"/>
  <c r="G209" i="15"/>
  <c r="G208" i="15"/>
  <c r="G207" i="15"/>
  <c r="G206" i="15"/>
  <c r="G205" i="15"/>
  <c r="G204" i="15"/>
  <c r="G203" i="15"/>
  <c r="G202" i="15"/>
  <c r="G201" i="15"/>
  <c r="G200" i="15"/>
  <c r="G199" i="15"/>
  <c r="G198" i="15"/>
  <c r="G197" i="15"/>
  <c r="G196" i="15"/>
  <c r="G195" i="15"/>
  <c r="G194" i="15"/>
  <c r="G193" i="15"/>
  <c r="G192" i="15"/>
  <c r="G191" i="15"/>
  <c r="G190" i="15"/>
  <c r="G189" i="15"/>
  <c r="G188" i="15"/>
  <c r="G187" i="15"/>
  <c r="G186" i="15"/>
  <c r="G185" i="15"/>
  <c r="G184" i="15"/>
  <c r="G183" i="15"/>
  <c r="G182" i="15"/>
  <c r="G181" i="15"/>
  <c r="G180" i="15"/>
  <c r="G179" i="15"/>
  <c r="G178" i="15"/>
  <c r="G177" i="15"/>
  <c r="G176" i="15"/>
  <c r="G175" i="15"/>
  <c r="G174" i="15"/>
  <c r="G173" i="15"/>
  <c r="G172" i="15"/>
  <c r="G171" i="15"/>
  <c r="G170" i="15"/>
  <c r="G169" i="15"/>
  <c r="G168" i="15"/>
  <c r="G167" i="15"/>
  <c r="G166" i="15"/>
  <c r="G165" i="15"/>
  <c r="G164" i="15"/>
  <c r="G163" i="15"/>
  <c r="G162" i="15"/>
  <c r="G161" i="15"/>
  <c r="G160" i="15"/>
  <c r="G159" i="15"/>
  <c r="G158" i="15"/>
  <c r="G157" i="15"/>
  <c r="G156" i="15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695" i="15" s="1"/>
  <c r="G12" i="15"/>
  <c r="G11" i="15"/>
  <c r="B8" i="15"/>
  <c r="B7" i="15"/>
  <c r="B6" i="15"/>
  <c r="B5" i="15"/>
  <c r="F4" i="15"/>
  <c r="B4" i="15"/>
  <c r="F3" i="15"/>
  <c r="B3" i="15"/>
  <c r="B8" i="4"/>
  <c r="B7" i="4"/>
  <c r="B6" i="4"/>
  <c r="B5" i="4"/>
  <c r="F4" i="4"/>
  <c r="B4" i="4"/>
  <c r="F3" i="4"/>
  <c r="B3" i="4"/>
  <c r="B8" i="3"/>
  <c r="B7" i="3"/>
  <c r="B6" i="3"/>
  <c r="B5" i="3"/>
  <c r="F4" i="3"/>
  <c r="B4" i="3"/>
  <c r="F3" i="3"/>
  <c r="B3" i="3"/>
  <c r="I52" i="1"/>
  <c r="F32" i="1"/>
  <c r="F31" i="1"/>
  <c r="F30" i="1"/>
  <c r="F20" i="1"/>
  <c r="F19" i="1"/>
  <c r="A29" i="3"/>
  <c r="A27" i="3"/>
  <c r="A26" i="3"/>
  <c r="A25" i="3"/>
  <c r="A24" i="3"/>
  <c r="A22" i="3"/>
  <c r="A21" i="3"/>
  <c r="A20" i="3"/>
  <c r="A19" i="3"/>
  <c r="A18" i="3"/>
  <c r="A17" i="3"/>
  <c r="A16" i="3"/>
  <c r="A15" i="3"/>
  <c r="A13" i="3"/>
  <c r="A12" i="3"/>
  <c r="A11" i="3"/>
  <c r="F4" i="2"/>
  <c r="F3" i="2"/>
  <c r="B4" i="2"/>
  <c r="B5" i="2"/>
  <c r="B6" i="2"/>
  <c r="B7" i="2"/>
  <c r="B8" i="2"/>
  <c r="B3" i="2"/>
  <c r="F6" i="16" l="1"/>
  <c r="D18" i="16"/>
  <c r="D38" i="16"/>
  <c r="F25" i="1"/>
  <c r="F26" i="1" s="1"/>
  <c r="F19" i="7"/>
  <c r="F7" i="16" l="1"/>
  <c r="F42" i="3"/>
  <c r="F31" i="3"/>
  <c r="F44" i="3"/>
  <c r="F43" i="3"/>
  <c r="F41" i="3"/>
  <c r="F40" i="3"/>
  <c r="F39" i="3"/>
  <c r="F38" i="3"/>
  <c r="F37" i="3"/>
  <c r="F36" i="3"/>
  <c r="F35" i="3"/>
  <c r="F34" i="3"/>
  <c r="F33" i="3"/>
  <c r="F32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12" i="3"/>
  <c r="F11" i="3"/>
  <c r="F45" i="2"/>
  <c r="F44" i="2"/>
  <c r="F43" i="2"/>
  <c r="F42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J43" i="1"/>
  <c r="D24" i="1" s="1"/>
  <c r="F24" i="1" s="1"/>
  <c r="I50" i="1" l="1"/>
  <c r="F16" i="1"/>
  <c r="F47" i="2"/>
  <c r="D14" i="1" s="1"/>
  <c r="F14" i="1" s="1"/>
  <c r="F46" i="3"/>
  <c r="D15" i="1" s="1"/>
  <c r="F15" i="1" s="1"/>
  <c r="F29" i="1" l="1"/>
  <c r="F33" i="1" s="1"/>
  <c r="F34" i="1" s="1"/>
  <c r="F21" i="1"/>
  <c r="F22" i="1" s="1"/>
  <c r="F50" i="1" l="1"/>
  <c r="F23" i="1"/>
  <c r="I49" i="1" s="1"/>
  <c r="F35" i="1" l="1"/>
  <c r="F45" i="1"/>
  <c r="F44" i="1"/>
  <c r="F43" i="1"/>
  <c r="F37" i="1" l="1"/>
  <c r="F42" i="1"/>
  <c r="F38" i="1"/>
  <c r="F41" i="1"/>
  <c r="F40" i="1"/>
  <c r="F39" i="1"/>
  <c r="F46" i="1" l="1"/>
  <c r="F48" i="1" s="1"/>
  <c r="F49" i="1" l="1"/>
  <c r="F51" i="1" l="1"/>
  <c r="F52" i="1" s="1"/>
  <c r="F56" i="1" l="1"/>
  <c r="F55" i="1"/>
  <c r="J45" i="1"/>
  <c r="J47" i="1"/>
  <c r="J48" i="1"/>
  <c r="J46" i="1"/>
  <c r="I51" i="1"/>
  <c r="E2" i="1"/>
  <c r="J53" i="1" l="1"/>
</calcChain>
</file>

<file path=xl/sharedStrings.xml><?xml version="1.0" encoding="utf-8"?>
<sst xmlns="http://schemas.openxmlformats.org/spreadsheetml/2006/main" count="12206" uniqueCount="1921">
  <si>
    <t>Summary Sheet</t>
  </si>
  <si>
    <t>Builder</t>
  </si>
  <si>
    <t>Lot</t>
  </si>
  <si>
    <t>Subdivision</t>
  </si>
  <si>
    <t>Customer</t>
  </si>
  <si>
    <t>Address</t>
  </si>
  <si>
    <t>City/St/Zip</t>
  </si>
  <si>
    <t>Date</t>
  </si>
  <si>
    <t>Job Selling Price</t>
  </si>
  <si>
    <t>Model</t>
  </si>
  <si>
    <t>Elevation</t>
  </si>
  <si>
    <t>Rates/Hr</t>
  </si>
  <si>
    <t>Rough Install</t>
  </si>
  <si>
    <t>Trim Install</t>
  </si>
  <si>
    <t>Technician</t>
  </si>
  <si>
    <t>Qty of Systems</t>
  </si>
  <si>
    <t>Total Ton</t>
  </si>
  <si>
    <t>Direct Cost</t>
  </si>
  <si>
    <t>Labor</t>
  </si>
  <si>
    <t>Rough In</t>
  </si>
  <si>
    <t>Finish/Trim</t>
  </si>
  <si>
    <t>Gas Pipe</t>
  </si>
  <si>
    <t>Start Up</t>
  </si>
  <si>
    <t>Hourly</t>
  </si>
  <si>
    <t>Delivery</t>
  </si>
  <si>
    <t>Roof Cap</t>
  </si>
  <si>
    <t>Job Incentive</t>
  </si>
  <si>
    <t>Warranty</t>
  </si>
  <si>
    <t>Rough In Labor</t>
  </si>
  <si>
    <t>Material</t>
  </si>
  <si>
    <t>Equipment</t>
  </si>
  <si>
    <t>Materials</t>
  </si>
  <si>
    <t>Supplies</t>
  </si>
  <si>
    <t>Inflation</t>
  </si>
  <si>
    <t>Warranty Materials</t>
  </si>
  <si>
    <t>Permit Cost</t>
  </si>
  <si>
    <t>Rentals</t>
  </si>
  <si>
    <t>Backcharges</t>
  </si>
  <si>
    <t>Freight</t>
  </si>
  <si>
    <t>"A"</t>
  </si>
  <si>
    <t>"B"</t>
  </si>
  <si>
    <t>"C"</t>
  </si>
  <si>
    <t>2% A &amp; 8% of B+C</t>
  </si>
  <si>
    <t>0.85% of B</t>
  </si>
  <si>
    <t>Total Labor Cost</t>
  </si>
  <si>
    <t>RIP</t>
  </si>
  <si>
    <t>Total Direct Cost</t>
  </si>
  <si>
    <t>Overhead</t>
  </si>
  <si>
    <t>Labor Overhead</t>
  </si>
  <si>
    <t>Direct Overhead</t>
  </si>
  <si>
    <t>Admin</t>
  </si>
  <si>
    <t>Insurance</t>
  </si>
  <si>
    <t>TTBE</t>
  </si>
  <si>
    <t>Warehouse</t>
  </si>
  <si>
    <t>Supervision</t>
  </si>
  <si>
    <t>Tools</t>
  </si>
  <si>
    <t>Truck</t>
  </si>
  <si>
    <t>Direct</t>
  </si>
  <si>
    <t>Total Overhead Cost</t>
  </si>
  <si>
    <t>Profit &amp; Tax</t>
  </si>
  <si>
    <t>Profit Percentage</t>
  </si>
  <si>
    <t>Diff Factor</t>
  </si>
  <si>
    <t>Sales Tax</t>
  </si>
  <si>
    <t>TOTAL SELLING PRICE</t>
  </si>
  <si>
    <t>Total Profit &amp; Tax</t>
  </si>
  <si>
    <t>Equipment "A"</t>
  </si>
  <si>
    <t>System 1</t>
  </si>
  <si>
    <t>AHU/Furnace</t>
  </si>
  <si>
    <t>Elec Htr/Evap Coil</t>
  </si>
  <si>
    <t>Heat Pump/AC</t>
  </si>
  <si>
    <t>Thermostat</t>
  </si>
  <si>
    <t>System 2</t>
  </si>
  <si>
    <t>System 3</t>
  </si>
  <si>
    <t>Model #</t>
  </si>
  <si>
    <t>Cost</t>
  </si>
  <si>
    <t>Qty</t>
  </si>
  <si>
    <t>$/Ea</t>
  </si>
  <si>
    <t>Item</t>
  </si>
  <si>
    <t>Exten</t>
  </si>
  <si>
    <t>Tonnage (Outdoor Unit Only)</t>
  </si>
  <si>
    <t>Set Air Handler - Attic</t>
  </si>
  <si>
    <t>Set Air Handler - Inside Mechanical Room</t>
  </si>
  <si>
    <t>Set Air Handler - Crawl</t>
  </si>
  <si>
    <t>Supply Drop (Flex, Collar, Elbow, Mastic, Cover)</t>
  </si>
  <si>
    <t>Return Drop (Flex, Collar, Elbow, Mastic, Cover)</t>
  </si>
  <si>
    <t>Return Box Framing</t>
  </si>
  <si>
    <t>Return Jumper Duct</t>
  </si>
  <si>
    <t>Wye</t>
  </si>
  <si>
    <t>Supply Distribution Box - Large</t>
  </si>
  <si>
    <t>Zone Damper (Includes Thermostat Wire)</t>
  </si>
  <si>
    <t>Barometric Bypass</t>
  </si>
  <si>
    <t>Supply Plenum Horizontal Duct (4' Only)</t>
  </si>
  <si>
    <t>Supply Plenum Horizontal Duct (Each Additional 4' Only)</t>
  </si>
  <si>
    <t>Exhaust Fan (RI Box, Duct, Cap)</t>
  </si>
  <si>
    <t>Dryer Vent - Ducted</t>
  </si>
  <si>
    <t>Dryer Vent - Wall Cap Only</t>
  </si>
  <si>
    <t>Laundry Room Transfer Grill</t>
  </si>
  <si>
    <t>Copper Lineset (50' Max)</t>
  </si>
  <si>
    <t>Copper Lineset (Ea Additional 25' Adder)</t>
  </si>
  <si>
    <t>Pressure Test on Copper</t>
  </si>
  <si>
    <t>Thermostat Wire - AHU to Wall Mount Location</t>
  </si>
  <si>
    <t>Kitchen Range Vent - 6" Through Wall</t>
  </si>
  <si>
    <t>Kitchen Range Vent - Interior 6" Vented TO Wall</t>
  </si>
  <si>
    <t>Kitchen Range Vent - Interior 7"-8"  Vented TO Wall</t>
  </si>
  <si>
    <t>Kitchen Range Vent - Interior 10" Vented TO Wall</t>
  </si>
  <si>
    <t>Make Up Air - Kitchen Range Vent</t>
  </si>
  <si>
    <t>Flue Exhaust Pipe - Water Heater Only</t>
  </si>
  <si>
    <t>Flue Exhaust Pipe - Gas Furnace Only</t>
  </si>
  <si>
    <t>Combustion Air Duct</t>
  </si>
  <si>
    <t>Third Floor Adder</t>
  </si>
  <si>
    <t>Media Filter Cabinet</t>
  </si>
  <si>
    <t>Humidifier - Bypass</t>
  </si>
  <si>
    <t>Total</t>
  </si>
  <si>
    <t>Finish / Trim Labor</t>
  </si>
  <si>
    <t>Set Outdoor Unit (Includes Low Voltage Wiring)</t>
  </si>
  <si>
    <t>Wire Air Handler (Low Voltage Wiring Only)</t>
  </si>
  <si>
    <t>Supply Register</t>
  </si>
  <si>
    <t>Return Grill</t>
  </si>
  <si>
    <t>Zone Damper Wire Connections</t>
  </si>
  <si>
    <t>Barometric Bypass Set Up</t>
  </si>
  <si>
    <t>Exhaust Fan Motor and Cover Install</t>
  </si>
  <si>
    <t>Exhaust Fan Wall/Soffit Cap Verification</t>
  </si>
  <si>
    <t>Dryer Vent Wall Cap Verifiication</t>
  </si>
  <si>
    <t>Copper Connections Outside (per system)</t>
  </si>
  <si>
    <t>Copper Connections Inside (per system)</t>
  </si>
  <si>
    <t>Vacuum Lineset</t>
  </si>
  <si>
    <t>Thermostat Wiring and Mounting (per Thermostat</t>
  </si>
  <si>
    <t>Kitchen Range Vent Connection</t>
  </si>
  <si>
    <t>Kitchen Range Hood Mount</t>
  </si>
  <si>
    <t>Reinstall Condensate Drain</t>
  </si>
  <si>
    <t>Extend Lineset for Outdoor Unit, Braze</t>
  </si>
  <si>
    <t>Make Up Air Wiring</t>
  </si>
  <si>
    <t>Kitchen Range Hood Mount - Canopy</t>
  </si>
  <si>
    <t>Uncover Return, Supply, or Laundry Grill</t>
  </si>
  <si>
    <t>Braze Lineset in Attic Space</t>
  </si>
  <si>
    <t>Find Leak or Kinked Lineset - Braze and Pressure Test</t>
  </si>
  <si>
    <t>Level Outdoor Unit beyond normal</t>
  </si>
  <si>
    <t>Drive Time beyond 1 hour</t>
  </si>
  <si>
    <t>Relocate Exhaust Fan - Reconnect Ductworki</t>
  </si>
  <si>
    <t>Uncover Thermostat Wire - Each</t>
  </si>
  <si>
    <t>Install Outdoor Unit Only (inclues trip Charge)</t>
  </si>
  <si>
    <t>Upsize Gas Main to Manifold - ½" up to ¾" CSST</t>
  </si>
  <si>
    <t>Upsize Home Room Gas Line - ½" up to ¾" CSST</t>
  </si>
  <si>
    <t>Log Lighter - Includes Key Valve</t>
  </si>
  <si>
    <t>Manifold</t>
  </si>
  <si>
    <t>Appliance Box</t>
  </si>
  <si>
    <t>Key Valve</t>
  </si>
  <si>
    <t>Gas Lantern Set Up (Per Lantern)</t>
  </si>
  <si>
    <t>Home Run Gas Line Length Adder (25' - 50')</t>
  </si>
  <si>
    <t>Home Run Gas Line Length Adder (51' -100')</t>
  </si>
  <si>
    <t>Home Run Gas Line Length Adder (100'+)</t>
  </si>
  <si>
    <t>Air Test - Pressure</t>
  </si>
  <si>
    <t xml:space="preserve">Find Leak - Gas Line </t>
  </si>
  <si>
    <t>Uncover Appliance Box</t>
  </si>
  <si>
    <t>Re Pressure Air Test (Includes Trip Charge)</t>
  </si>
  <si>
    <t>On Call Period / Rotating Week/Weekend</t>
  </si>
  <si>
    <t>Holiday On Call (Per Night)</t>
  </si>
  <si>
    <t>Answer Messages from Service Line</t>
  </si>
  <si>
    <t>Walk Through Service Call Over Phone (15 Min max)</t>
  </si>
  <si>
    <t>Hrs</t>
  </si>
  <si>
    <t>$/Hr</t>
  </si>
  <si>
    <t>Address   Lot/Subdivision</t>
  </si>
  <si>
    <t>On Call Extra</t>
  </si>
  <si>
    <t>Rate</t>
  </si>
  <si>
    <t>Labor Margin</t>
  </si>
  <si>
    <t>Material Margin</t>
  </si>
  <si>
    <t>R.I.P Margin</t>
  </si>
  <si>
    <t>Gross Margin</t>
  </si>
  <si>
    <t>Warr Margin of Labor</t>
  </si>
  <si>
    <t>Materials/Ton</t>
  </si>
  <si>
    <t>Job Cost/Ton</t>
  </si>
  <si>
    <t>Net Profit</t>
  </si>
  <si>
    <t xml:space="preserve"> </t>
  </si>
  <si>
    <t>Cost/Ea</t>
  </si>
  <si>
    <t>UoM</t>
  </si>
  <si>
    <t>Ea</t>
  </si>
  <si>
    <t>Add One SUPPLY Drop</t>
  </si>
  <si>
    <t>Add One RETURN Opening</t>
  </si>
  <si>
    <t>Upsize One Supply or Return Duct by One Size</t>
  </si>
  <si>
    <t>Per</t>
  </si>
  <si>
    <t>Extend Supply Duct to the Outside Wall</t>
  </si>
  <si>
    <t>Install Zone System</t>
  </si>
  <si>
    <t>Upsize Equipment by One HALF Ton</t>
  </si>
  <si>
    <t>Add One Fan Only 50 CFM Bath (1667H &amp; 1688F)</t>
  </si>
  <si>
    <t>Add One Fan/Light Combo 50 CFM (2667H &amp; 2688F)</t>
  </si>
  <si>
    <t>Add One Fan Only 80 CFM Bath Fan (N671)</t>
  </si>
  <si>
    <t>Install Combustion Air High Low Round Duct</t>
  </si>
  <si>
    <t>Install Combustion Air Grilles (North Carolina Only)</t>
  </si>
  <si>
    <t>Install Laundry Room Combustion Air Grille</t>
  </si>
  <si>
    <t>Vent Range Hood on Exterior Wall</t>
  </si>
  <si>
    <t>Vent Range Hood on Interior Wall</t>
  </si>
  <si>
    <t>6" Fresh Air Damper - Duct and Labor Included (Honeywell Y8150 Controller)</t>
  </si>
  <si>
    <t>Dryer Vent Booster</t>
  </si>
  <si>
    <t>Install ½" Log Lighter for a Wood Burning Fireplace</t>
  </si>
  <si>
    <t>Additional Gas Line - (Fireplace, Pation, Range, Dryer, etc) ½" Gas Pipe Opening</t>
  </si>
  <si>
    <t>Add Gas Line to One Appliance (Electric Base House)</t>
  </si>
  <si>
    <t>Add Propane Gas Line to Fireplace Only</t>
  </si>
  <si>
    <t>Add Gas to Gas Water Heater (½" Gas Pipe Opening and 4" Exhaust Vent Pipe)</t>
  </si>
  <si>
    <t>Tankless Water Heater (Upsize to ¾" Gas Line Opening)</t>
  </si>
  <si>
    <t>Price per House</t>
  </si>
  <si>
    <t>Tankless Water Heater Vent Extension</t>
  </si>
  <si>
    <t>Add Full or Half Bath to Existing Room (Supply Drop and Fan/Light Combo - 50 CFM)</t>
  </si>
  <si>
    <t>Additional Lineset Extension Up to 15 ft Only</t>
  </si>
  <si>
    <t xml:space="preserve">Additional Lineset Extension 16 ft to 35 Ft Only </t>
  </si>
  <si>
    <t>Additional Lineset Extension Up to an additional 50 Ft</t>
  </si>
  <si>
    <t>Honeywell Humidifier (HM509H8910) w/ Compatible Thermostat (TH9421U1002)</t>
  </si>
  <si>
    <t>Dehumidifier with Ductwork</t>
  </si>
  <si>
    <t>Dehumidifier without Ductwork</t>
  </si>
  <si>
    <t>Aprilaire 4" Media Air Cleaner - Includes Filter</t>
  </si>
  <si>
    <t>Sales Office - Includes Ductwork, 4 SA Drop, 1 RA and Builder Supplied Equipment</t>
  </si>
  <si>
    <t>Trip Charge</t>
  </si>
  <si>
    <t>Cabarrus County Permit Increase</t>
  </si>
  <si>
    <t>Iredell County Permit Increase</t>
  </si>
  <si>
    <t>HVAC Code Requirement ADDER - Greensboro</t>
  </si>
  <si>
    <t>HVAC Code ADDER - Raleigh</t>
  </si>
  <si>
    <t>North Carolina Energy Code Compliance - Electric Heat Strip Lockout at 40</t>
  </si>
  <si>
    <t>Upgrade to 2 systems ILO of Single System w/ Zoning</t>
  </si>
  <si>
    <t>5 Year Extended Warranty (Labor Only - Parts already 5 Year Warranty)</t>
  </si>
  <si>
    <t>10' Ceiling Adder (per Floor)</t>
  </si>
  <si>
    <t>12' Ceiling Adder (per Floor)</t>
  </si>
  <si>
    <t>Optional Raised Ceiling (per Room)</t>
  </si>
  <si>
    <t>Additional Second Floor Dryer Vent</t>
  </si>
  <si>
    <t>WEEKLY TIMESHEET</t>
  </si>
  <si>
    <t>Week of:</t>
  </si>
  <si>
    <t>Employee Name (Print)</t>
  </si>
  <si>
    <t>DAY</t>
  </si>
  <si>
    <t>Start Time</t>
  </si>
  <si>
    <t>Lunch Start</t>
  </si>
  <si>
    <t>Lunch End</t>
  </si>
  <si>
    <t>End Time</t>
  </si>
  <si>
    <t>Reg Hours</t>
  </si>
  <si>
    <t>Piece Rate Hours</t>
  </si>
  <si>
    <t>Total Hours Worked</t>
  </si>
  <si>
    <t>Job Number</t>
  </si>
  <si>
    <t>LOT</t>
  </si>
  <si>
    <t>SUBDIVISION  / ADDRESS</t>
  </si>
  <si>
    <t>PAY</t>
  </si>
  <si>
    <t>MONDAY</t>
  </si>
  <si>
    <t>TUESDAY</t>
  </si>
  <si>
    <t>WEDNESDAY</t>
  </si>
  <si>
    <t>THURSDAY</t>
  </si>
  <si>
    <t>FRIDAY</t>
  </si>
  <si>
    <t>SATURDAY</t>
  </si>
  <si>
    <t>SUNDAY</t>
  </si>
  <si>
    <t>WEEKLY TOTALS</t>
  </si>
  <si>
    <t>Reg Hrs</t>
  </si>
  <si>
    <t>PCR Hrs</t>
  </si>
  <si>
    <t>Total Hrs</t>
  </si>
  <si>
    <t>WEEKLY PIECE RATE PAY</t>
  </si>
  <si>
    <t>Total PCR Pay</t>
  </si>
  <si>
    <t>Employee Signature</t>
  </si>
  <si>
    <t>Internal Use Only</t>
  </si>
  <si>
    <t>Supervisor Signature</t>
  </si>
  <si>
    <t>HVAC / BUILDER INFORMATION SHEET</t>
  </si>
  <si>
    <t>Contact</t>
  </si>
  <si>
    <t>Customer Name</t>
  </si>
  <si>
    <t>Email</t>
  </si>
  <si>
    <t>City / St</t>
  </si>
  <si>
    <t>County</t>
  </si>
  <si>
    <t>Billing Contact</t>
  </si>
  <si>
    <t>Billing Email</t>
  </si>
  <si>
    <t>House Faces (Front Door)</t>
  </si>
  <si>
    <t>N / E / S / W</t>
  </si>
  <si>
    <t>Wall Type</t>
  </si>
  <si>
    <t>Roof Type</t>
  </si>
  <si>
    <t>Wood</t>
  </si>
  <si>
    <t>R11</t>
  </si>
  <si>
    <t>Shingle</t>
  </si>
  <si>
    <t>R30</t>
  </si>
  <si>
    <t>Block</t>
  </si>
  <si>
    <t>R13</t>
  </si>
  <si>
    <t>Metal</t>
  </si>
  <si>
    <t>R38</t>
  </si>
  <si>
    <t>R17</t>
  </si>
  <si>
    <t>Tile</t>
  </si>
  <si>
    <t>Icynene</t>
  </si>
  <si>
    <t>Window Type</t>
  </si>
  <si>
    <t>DBL Pane</t>
  </si>
  <si>
    <t>Reflect</t>
  </si>
  <si>
    <t>Trip Pane</t>
  </si>
  <si>
    <t>Low E</t>
  </si>
  <si>
    <t>HVAC SYSTEM</t>
  </si>
  <si>
    <t>Brand</t>
  </si>
  <si>
    <t>Electric / Gas</t>
  </si>
  <si>
    <t>Zoning</t>
  </si>
  <si>
    <t>Gas Pipe to</t>
  </si>
  <si>
    <t>Range Vent</t>
  </si>
  <si>
    <t>Furnace</t>
  </si>
  <si>
    <t>Location</t>
  </si>
  <si>
    <t>Water Heater</t>
  </si>
  <si>
    <t>Size</t>
  </si>
  <si>
    <t>Dryer</t>
  </si>
  <si>
    <t>Hang Hood</t>
  </si>
  <si>
    <t>Range</t>
  </si>
  <si>
    <t>Patio</t>
  </si>
  <si>
    <t>Lantern</t>
  </si>
  <si>
    <t>Fireplace</t>
  </si>
  <si>
    <t>Log Lighter</t>
  </si>
  <si>
    <t>Insert</t>
  </si>
  <si>
    <t>Duct System Type</t>
  </si>
  <si>
    <t>Flex</t>
  </si>
  <si>
    <t>Progressive</t>
  </si>
  <si>
    <t>Ductboard</t>
  </si>
  <si>
    <t>Conventional</t>
  </si>
  <si>
    <t>Boxes</t>
  </si>
  <si>
    <t>Cu and Refrig</t>
  </si>
  <si>
    <t>Metal Fittings</t>
  </si>
  <si>
    <t>Finish</t>
  </si>
  <si>
    <t>Furnace Fittings</t>
  </si>
  <si>
    <t>BVENT</t>
  </si>
  <si>
    <t>Flex and Pipe</t>
  </si>
  <si>
    <t xml:space="preserve">Caps </t>
  </si>
  <si>
    <t>Non Metal Fittings</t>
  </si>
  <si>
    <t>Exhaust Fans</t>
  </si>
  <si>
    <t>Other</t>
  </si>
  <si>
    <t>Controls &amp; Zoning</t>
  </si>
  <si>
    <t>Service</t>
  </si>
  <si>
    <t>Gas</t>
  </si>
  <si>
    <t>Part No</t>
  </si>
  <si>
    <t>EA</t>
  </si>
  <si>
    <t>10X4X4 STRT BOOT</t>
  </si>
  <si>
    <t>10X4X6 STRT BOOT</t>
  </si>
  <si>
    <t>12X4X7 STRT BOOT</t>
  </si>
  <si>
    <t>14X4X8 STRT BOOT</t>
  </si>
  <si>
    <t>14X6X8 STRT BOOT</t>
  </si>
  <si>
    <t>10X4X4 90 ANGLE BOOT</t>
  </si>
  <si>
    <t>10X4X6 90 ANGLE BOOT</t>
  </si>
  <si>
    <t>12X4X7 90 ANGLE BOOT</t>
  </si>
  <si>
    <t>14X4X8 90 ANGLE BOOT</t>
  </si>
  <si>
    <t>14X6X8 90 ANGLE BOOT</t>
  </si>
  <si>
    <t>10X4X4 CNTR END BOOT</t>
  </si>
  <si>
    <t>10X4X6 CNTR END BOOT</t>
  </si>
  <si>
    <t>12X4X7 CNTR END BOOT</t>
  </si>
  <si>
    <t>14X4X8 CNTR END BOOT</t>
  </si>
  <si>
    <t>14X6X8 CNTR END BOOT</t>
  </si>
  <si>
    <t>10X4 BOOT FRM 24</t>
  </si>
  <si>
    <t>12X4 BOOT FRM 24</t>
  </si>
  <si>
    <t>14X4 BOOT FRM 24</t>
  </si>
  <si>
    <t>14X6 BOOT FRM 24</t>
  </si>
  <si>
    <t>26 BOOT RAIL</t>
  </si>
  <si>
    <t>6X4X4 26GA WYE</t>
  </si>
  <si>
    <t>6X6X4 26GA WYE</t>
  </si>
  <si>
    <t>7X6X4 26GA WYE</t>
  </si>
  <si>
    <t>7X6X6 26GA WYE</t>
  </si>
  <si>
    <t>7X7X4 26GA WYE</t>
  </si>
  <si>
    <t>8X6X6 26GA WYE</t>
  </si>
  <si>
    <t>9X7X7 26GA WYE</t>
  </si>
  <si>
    <t>10X8X8 26GA WYE</t>
  </si>
  <si>
    <t>18 26GA ADJ 90 ELL</t>
  </si>
  <si>
    <t>20 26GA ADJ 90 ELL</t>
  </si>
  <si>
    <t>4 30GA FLEX DUCT CONN</t>
  </si>
  <si>
    <t>6 30GA FLEX DUCT CONN</t>
  </si>
  <si>
    <t>7 30GA FLEX DUCT CONN</t>
  </si>
  <si>
    <t>8 30GA FLEX DUCT CONN</t>
  </si>
  <si>
    <t>9 30GA FLEX DUCT CONN</t>
  </si>
  <si>
    <t>10 30GA FLEX DUCT CONN</t>
  </si>
  <si>
    <t>12 30GA FLEX DUCT CONN</t>
  </si>
  <si>
    <t>14 30GA FLEX DUCT CONN</t>
  </si>
  <si>
    <t>16 30GA FLEX DUCT CONN</t>
  </si>
  <si>
    <t>18 30GA FLEX DUCT CONN</t>
  </si>
  <si>
    <t>20 30GA FLEX DUCT CONN</t>
  </si>
  <si>
    <t>5 26GA END CAP NO CRMP</t>
  </si>
  <si>
    <t>12 26GA END CAP NO CRMP</t>
  </si>
  <si>
    <t>14 26GA END CAP NO CRMP</t>
  </si>
  <si>
    <t>120 26GA S CLEAT</t>
  </si>
  <si>
    <t>120 26GA DRV CLEAT</t>
  </si>
  <si>
    <t>30X36 24GA DRN PAN</t>
  </si>
  <si>
    <t>30X60 24GA DRN PAN</t>
  </si>
  <si>
    <t>32X70 24GA DRN PAN</t>
  </si>
  <si>
    <t>36X80 24GA DRN PAN</t>
  </si>
  <si>
    <t>14-1/2X24X18 PLATFORM BOX</t>
  </si>
  <si>
    <t>17-3/4X24X18 PLATFORM BOX</t>
  </si>
  <si>
    <t>21X24X18 PLATFORM BOX</t>
  </si>
  <si>
    <t>24-1/2X24X22 PLATFORM BOX</t>
  </si>
  <si>
    <t>11-1/4X18X24 DB PLENUM W CAP R8</t>
  </si>
  <si>
    <t>11-1/4X18X48 DB PLENUM W CAP R8</t>
  </si>
  <si>
    <t>14-1/2X18X24 DB PLENUM W CAP R8</t>
  </si>
  <si>
    <t>14-1/2X18X48 DB PLENUM W CAP R8</t>
  </si>
  <si>
    <t>18X18X24 DB PLENUM W CAP R8</t>
  </si>
  <si>
    <t>18X18X48 DB PLENUM W CAP R8</t>
  </si>
  <si>
    <t>LRG DB TRIANGLE DIST</t>
  </si>
  <si>
    <t>48X96 24 GA SHEET METAL</t>
  </si>
  <si>
    <t>48X96 26 GA SHEET METAL</t>
  </si>
  <si>
    <t>4X5 FT 28GA SNLK RND PIPE</t>
  </si>
  <si>
    <t>6X5 FT 30GA SNLK RND PIPE</t>
  </si>
  <si>
    <t>7X5 FT 30GA SNLK RND PIPE</t>
  </si>
  <si>
    <t>8X5 FT 30GA SNLK RND PIPE</t>
  </si>
  <si>
    <t>9X5 FT 30GA SNLK RND PIPE</t>
  </si>
  <si>
    <t>10X5 FT 28GA SNLK RND PIPE</t>
  </si>
  <si>
    <t>12X5 FT 28GA SNLK RND PIPE</t>
  </si>
  <si>
    <t>14X5 FT 26GA SNLK RND PIPE</t>
  </si>
  <si>
    <t>16X5 FT 26GA SNLK RND PIPE</t>
  </si>
  <si>
    <t>18X5 FT 26GA SNLK RND PIPE</t>
  </si>
  <si>
    <t>20X5 FT 26GA SNLK RND PIPE</t>
  </si>
  <si>
    <t>4X25 BLAC VINYL FLEX AIR DUCT R4.2</t>
  </si>
  <si>
    <t>6X25 BLAC VINYL FLEX AIR DUCT R4.2</t>
  </si>
  <si>
    <t>7X25 BLAC VINYL FLEX AIR DUCT R4.2</t>
  </si>
  <si>
    <t>9X25 BLAC VINYL FLEX AIR DUCT R4.2</t>
  </si>
  <si>
    <t>10X25 BLAC VINYL FLEX AIR DUCT R4.2</t>
  </si>
  <si>
    <t>12X25 BLAC VINYL FLEX AIR DUCT R4.2</t>
  </si>
  <si>
    <t>14X25 BLAC VINYL FLEX AIR DUCT R4.2</t>
  </si>
  <si>
    <t>16X25 BLAC VINYL FLEX AIR DUCT R4.2</t>
  </si>
  <si>
    <t>18X25 BLAC VINYL FLEX AIR DUCT R4.2</t>
  </si>
  <si>
    <t>4X25 BLAC VINYL FLEX AIR DUCT R6.0</t>
  </si>
  <si>
    <t>6X25 BLAC VINYL FLEX AIR DUCT R6.0</t>
  </si>
  <si>
    <t>7X25 BLAC VINYL FLEX AIR DUCT R6.0</t>
  </si>
  <si>
    <t>8X25 BLAC VINYL FLEX AIR DUCT R6.0</t>
  </si>
  <si>
    <t>9X25 BLAC VINYL FLEX AIR DUCT R6.0</t>
  </si>
  <si>
    <t>10X25 BLAC VINYL FLEX AIR DUCT R6.0</t>
  </si>
  <si>
    <t>12X25 BLAC VINYL FLEX AIR DUCT R6.0</t>
  </si>
  <si>
    <t>14X25 BLAC VINYL FLEX AIR DUCT R6.0</t>
  </si>
  <si>
    <t>16X25 BLAC VINYL FLEX AIR DUCT R6.0</t>
  </si>
  <si>
    <t>18X25 BLAC VINYL FLEX AIR DUCT R6.0</t>
  </si>
  <si>
    <t>20X25 BLAC VINYL FLEX AIR DUCT R6.0</t>
  </si>
  <si>
    <t>4X25 BLAC VINYL FLEX AIR DUCT R8.0</t>
  </si>
  <si>
    <t>6X25 BLAC VINYL FLEX AIR DUCT R8.0</t>
  </si>
  <si>
    <t>7X25 BLAC VINYL FLEX AIR DUCT R8.0</t>
  </si>
  <si>
    <t>8X25 BLAC VINYL FLEX AIR DUCT R8.0</t>
  </si>
  <si>
    <t>9X25 BLAC VINYL FLEX AIR DUCT R8.0</t>
  </si>
  <si>
    <t>10X25 BLAC VINYL FLEX AIR DUCT R8.0</t>
  </si>
  <si>
    <t>12X25 BLAC VINYL FLEX AIR DUCT R8.0</t>
  </si>
  <si>
    <t>14X25 BLAC VINYL FLEX AIR DUCT R8.0</t>
  </si>
  <si>
    <t>16X25 BLAC VINYL FLEX AIR DUCT R8.0</t>
  </si>
  <si>
    <t>18X25 BLAC VINYL FLEX AIR DUCT R8.0</t>
  </si>
  <si>
    <t>20X25 BLAC VINYL FLEX AIR DUCT R8.0</t>
  </si>
  <si>
    <t>3/4X10 PVC DWV S40 PE PIPE</t>
  </si>
  <si>
    <t>3/4 PVC S40 SXS 45 ELL</t>
  </si>
  <si>
    <t>3/4 PVC S40 SXS 90 ELL</t>
  </si>
  <si>
    <t>3/4 PVC S40 SOC CAP</t>
  </si>
  <si>
    <t>3/4 PVC S40 SXS COUP</t>
  </si>
  <si>
    <t>3/4 PVC S40 SXM ADPT</t>
  </si>
  <si>
    <t>3/4 PVC S40 SXF ADPT</t>
  </si>
  <si>
    <t>3/4 PVC S40 SXSXS TEE</t>
  </si>
  <si>
    <t>3X10 FT PVC DWV S40 PE PIPE</t>
  </si>
  <si>
    <t>3 PVC S40 SXS LS 90 ELL</t>
  </si>
  <si>
    <t>1 PVC S40 SXS COUP</t>
  </si>
  <si>
    <t>2 PVC S40 SXS COUP</t>
  </si>
  <si>
    <t>3X48X50 FSK DUCT WRAP R8</t>
  </si>
  <si>
    <t>2.2X48X75 FSK DUCT WRAP R6</t>
  </si>
  <si>
    <t>5X8 16GA SELF NAILING BOCA PLT</t>
  </si>
  <si>
    <t>18/03 UL TSTAT WIRE 500FT PAK BROW</t>
  </si>
  <si>
    <t>TRUEZONE 3 ZONE CNTL PNL 2H/2C</t>
  </si>
  <si>
    <t>APRIL AIRE 700 POWER HUMID</t>
  </si>
  <si>
    <t>APRIL AIRE 600 BYPASS HUMID</t>
  </si>
  <si>
    <t>APRIL AIRE 500 BYPASS HUMID</t>
  </si>
  <si>
    <t>PK</t>
  </si>
  <si>
    <t>1/4 FLARE CAP 12PK</t>
  </si>
  <si>
    <t>1/2 WROT CXM ADPT</t>
  </si>
  <si>
    <t>3/4 WROT CXM ADPT</t>
  </si>
  <si>
    <t>1/8 WROT CXC COUP 1/4 OD</t>
  </si>
  <si>
    <t>1/4 WROT CXC COUP 3/8 OD</t>
  </si>
  <si>
    <t>3/8 WROT CXC COUP 1/2 OD</t>
  </si>
  <si>
    <t>1/2 WROT CXC COUP 5/8 OD</t>
  </si>
  <si>
    <t>5/8 WROT CXC COUP 3/4 OD</t>
  </si>
  <si>
    <t>3/4 WROT CXC COUP 7/8 OD</t>
  </si>
  <si>
    <t>1 WROT CXC COUP 1-1/8 OD</t>
  </si>
  <si>
    <t>1/4 WROT CXC 45 ELL 3/8 OD</t>
  </si>
  <si>
    <t>3/8 WROT CXC 45 ELL 1/2 OD</t>
  </si>
  <si>
    <t>1/2 WROT CXC 45 ELL 5/8 OD</t>
  </si>
  <si>
    <t>5/8 WROT CXC 45 ELL 3/4 OD</t>
  </si>
  <si>
    <t>3/4 WROT CXC 45 ELL 7/8 OD</t>
  </si>
  <si>
    <t>1 WROT CXC 45 ELL 1-1/8 OD</t>
  </si>
  <si>
    <t>1/4 WROT CXC LT 90 ELL 3/8 OD</t>
  </si>
  <si>
    <t>3/8 WROT CXC 90 ELL 1/2 OD</t>
  </si>
  <si>
    <t>3/8 WROT CXC LT 90 ELL 1/2 OD</t>
  </si>
  <si>
    <t>1/2 WROT CXC LT 90 ELL 5/8 OD</t>
  </si>
  <si>
    <t>5/8 WROT CXC LT 90 ELL 3/4 OD</t>
  </si>
  <si>
    <t>3/4 WROT CXC LT 90 ELL 7/8 OD</t>
  </si>
  <si>
    <t>5/8 WROT FTGXC ST 45 ELL 3/4 OD</t>
  </si>
  <si>
    <t>3/4 WROT FTGXC ST 45 ELL 7/8 OD</t>
  </si>
  <si>
    <t>1 WROT FTGXC ST 45 ELL 1-1/8 OD</t>
  </si>
  <si>
    <t>1/4 WROT FTGXC LT ST 90 ELL 3/8 OD</t>
  </si>
  <si>
    <t>1/2 WROT FTGXC LT ST 90 ELL 5/8 OD</t>
  </si>
  <si>
    <t>5/8 WROT FTGXC LT ST 90 ELL 3/4 OD</t>
  </si>
  <si>
    <t>3/4 WROT FTGXC LT ST 90 ELL 7/8 OD</t>
  </si>
  <si>
    <t>1 WROT FTGXC LT ST 90 ELL 1-1/8 OD</t>
  </si>
  <si>
    <t>3/8X5/8X1/2X30 COP PE LINESET</t>
  </si>
  <si>
    <t>3/8X3/4X1/2X30 COP PE LINESET</t>
  </si>
  <si>
    <t>3/8X5/8X1/2X50 COP PE LINESET</t>
  </si>
  <si>
    <t>3/8X3/4X1/2X50 COP PE LINESET</t>
  </si>
  <si>
    <t>3/8X7/8X1/2X50 COP PE LINESET</t>
  </si>
  <si>
    <t>3/8X1-1/8X1/2X50 COP PE LINESET</t>
  </si>
  <si>
    <t>3/8 ID X 1/2 PIPE INSUL</t>
  </si>
  <si>
    <t>1-1/8 ID X 1/2 PIPE INSUL TUBE</t>
  </si>
  <si>
    <t>1/4 OD X 50 SOFT REF TUBE</t>
  </si>
  <si>
    <t>1/2 OD X 50 SOFT REF TUBE</t>
  </si>
  <si>
    <t>5/8 OD X 50 SOFT REF TUBE</t>
  </si>
  <si>
    <t>7/8 OD X 50 SOFT REF TUBE</t>
  </si>
  <si>
    <t>10X4 2W 2 WAY S/C REG WHIT</t>
  </si>
  <si>
    <t>10X4 1 WAY CURVED BLADE WHIT</t>
  </si>
  <si>
    <t>12X4 1 WAY CURVED BLADE WHIT</t>
  </si>
  <si>
    <t>14X4 1 WAY CURVED BLADE WHIT</t>
  </si>
  <si>
    <t>12X12 RG RTN AIR GRL 1/2 FIN WHIT</t>
  </si>
  <si>
    <t>14X14 RG RTN AIR GRL 1/2 FIN WHIT</t>
  </si>
  <si>
    <t>20X16 RG RTN AIR GRL 1/2 FIN WHIT</t>
  </si>
  <si>
    <t>30X12 RG RTN AIR GRL 1/2 FIN WHIT</t>
  </si>
  <si>
    <t>30X14 RG RTN AIR GRL 1/2 FIN WHIT</t>
  </si>
  <si>
    <t>12X12 FG RTN FLTR GRL 1/2 FIN WHIT</t>
  </si>
  <si>
    <t>14X14 FG RTN FLTR GRL 1/2 FIN WHIT</t>
  </si>
  <si>
    <t>14X20 FG RTN FLTR GRL 1/2 FIN WHIT</t>
  </si>
  <si>
    <t>16X16 FG RTN FLTR GRL 1/2 FIN WHIT</t>
  </si>
  <si>
    <t>20X14 FG RTN FLTR GRL 1/2 FIN WHIT</t>
  </si>
  <si>
    <t>20X16 FG RTN FLTR GRL 1/2 FIN WHIT</t>
  </si>
  <si>
    <t>20X20 FG RTN FLTR GRL 1/2 FIN WHIT</t>
  </si>
  <si>
    <t>24X12 FG RTN FLTR GRL 1/2 FIN WHIT</t>
  </si>
  <si>
    <t>25X16 FG RTN FLTR GRL 1/2 FIN WHIT</t>
  </si>
  <si>
    <t>25X20 FG RTN FLTR GRL 1/2 FIN WHIT</t>
  </si>
  <si>
    <t>12X12X1 F/GLS AIR FLTR</t>
  </si>
  <si>
    <t>12X24X1 F/GLS AIR FLTR</t>
  </si>
  <si>
    <t>14X14X1 F/GLS AIR FLTR</t>
  </si>
  <si>
    <t>16X16X1 F/GLS AIR FLTR</t>
  </si>
  <si>
    <t>20X10X1 F/GLS AIR FILTER</t>
  </si>
  <si>
    <t>20X20X1 F/GLS PNL FLTR</t>
  </si>
  <si>
    <t>20X25X1 F/GLS AIR FILTER</t>
  </si>
  <si>
    <t>4X12 GAS B VENT PIPE</t>
  </si>
  <si>
    <t>4X24 GAS B VENT PIPE</t>
  </si>
  <si>
    <t>4X3 FT GAS B VENT PIPE</t>
  </si>
  <si>
    <t>4X4 FT GAS B VENT PIPE</t>
  </si>
  <si>
    <t>4X5 FT GAS B VENT PIPE</t>
  </si>
  <si>
    <t>4 GAS B VENT 90 ELL</t>
  </si>
  <si>
    <t>4 GAS B VENT CAP</t>
  </si>
  <si>
    <t>4X3 B VENT INCREASER</t>
  </si>
  <si>
    <t>4 B VENT STORM COLLAR</t>
  </si>
  <si>
    <t>4 B VENT FLASHING ADJ</t>
  </si>
  <si>
    <t>5X24 GAS B VENT PIPE</t>
  </si>
  <si>
    <t>5X3 FT GAS B VENT PIPE</t>
  </si>
  <si>
    <t>5X4 FT GAS B VENT PIPE</t>
  </si>
  <si>
    <t>5X5 FT GAS B VENT PIPE</t>
  </si>
  <si>
    <t>5 GAS B VENT 90 ELL</t>
  </si>
  <si>
    <t>5 GAS B VENT CAP</t>
  </si>
  <si>
    <t>5X4X3 B VENT TEE</t>
  </si>
  <si>
    <t>5 B VENT STORM COLLAR</t>
  </si>
  <si>
    <t>15WB+ 10.1 OZ CART FIRE CAULK</t>
  </si>
  <si>
    <t>6 GALV WALL VENT W/ SCRN &amp; DMPR</t>
  </si>
  <si>
    <t>ROOF CAP F/ RND DUCT UP TO 4</t>
  </si>
  <si>
    <t>4-1/4 DP DRYER BX F/ 2X6 WALL</t>
  </si>
  <si>
    <t>9 5T AX SAWZALL BLD 5PK</t>
  </si>
  <si>
    <t>9 18T TORCH SAWZALL BLD 5PK</t>
  </si>
  <si>
    <t>1-3/4X100 YARDS DUCT STRP BLAC</t>
  </si>
  <si>
    <t>11" Nylon Wire Ties 100pk</t>
  </si>
  <si>
    <t>9/16 STAPLES 4000 PER BX</t>
  </si>
  <si>
    <t>RUB &amp; CORK ANTI VIB PAD 2X2</t>
  </si>
  <si>
    <t>6.5 OZ STAY SILV WHIT BRAZ FLUX</t>
  </si>
  <si>
    <t>SAND CLO BROW 1.5X10 YDS</t>
  </si>
  <si>
    <t>CALG 4182-24 CAL BLUE QT.</t>
  </si>
  <si>
    <t>LEAK DET PRO-BUBBLE</t>
  </si>
  <si>
    <t>3/4X520 PTFE PIPE THRD TAPE</t>
  </si>
  <si>
    <t>8 OZ PURP PRMR / CLNR</t>
  </si>
  <si>
    <t>16 OZ PURP PRMR / CLNR</t>
  </si>
  <si>
    <t>16 OZ PURP PRMR - NSF LISTED</t>
  </si>
  <si>
    <t>16 OZ PVC HD CLR CMNT</t>
  </si>
  <si>
    <t>*NLA 1/4X1-1/4 DRV NAIL HAMM ANCR</t>
  </si>
  <si>
    <t>8X3/4 BIT TIP TAP SCRW 500 H/HD 1/4</t>
  </si>
  <si>
    <t>10X3/4 BIT TIP TAP SCRW 500 5/16</t>
  </si>
  <si>
    <t>8X1/2 ZIP SCRW 1000 H/HD 1/4</t>
  </si>
  <si>
    <t>8X1 ZIP SCRW 1000 H/HD 1/4</t>
  </si>
  <si>
    <t>8X2 ZIP SCRW 250 H/HD 1/4</t>
  </si>
  <si>
    <t>8X3 ZIP IN SCRW WHIT 150# TUB</t>
  </si>
  <si>
    <t>2X60 PC857 BLAC TAPE UL181B-FX</t>
  </si>
  <si>
    <t>2X120 YD UL-181B-FX DUCT TAPE BLAC</t>
  </si>
  <si>
    <t>1/8X2X30 FT FOAM INSUL</t>
  </si>
  <si>
    <t>8 OZ WD-40 LUB</t>
  </si>
  <si>
    <t>55 GAL BLAC CONTRACTOR BAGS 25/CA</t>
  </si>
  <si>
    <t>8X8X16 HOLLOW CNCRT BLOCK</t>
  </si>
  <si>
    <t>1/2 LIQUIDTITE 90 CONN</t>
  </si>
  <si>
    <t>DLX TEST LEAD KIT</t>
  </si>
  <si>
    <t>3/8 SWAGING SPIN SET W/ 6 TOOLS</t>
  </si>
  <si>
    <t>DU SIDE REV HEX WRCH</t>
  </si>
  <si>
    <t>MANU CO TIE TOOL W/ GRIP</t>
  </si>
  <si>
    <t>HPPE KNIT GLV CUT RES RUB PALM MED</t>
  </si>
  <si>
    <t>HPPE KNIT GLV CUT RES RUB PALM LG</t>
  </si>
  <si>
    <t>MAXICAP PROT F/ 325-5 GAS REG</t>
  </si>
  <si>
    <t>1/2 BLK MI 150# BRS GJ UNION</t>
  </si>
  <si>
    <t>1/2 BLK MI 150# 45 ELL</t>
  </si>
  <si>
    <t>1/2 BLK MI 150# 90 ELL</t>
  </si>
  <si>
    <t>1/2 BLK MI 150# CAP</t>
  </si>
  <si>
    <t>1/2X1-1/2 BLK STL NIP</t>
  </si>
  <si>
    <t>1/2X3 BLK STL NIP</t>
  </si>
  <si>
    <t>1/2X12 BLK STL NIP</t>
  </si>
  <si>
    <t>1/2 BLK MI 150# TEE</t>
  </si>
  <si>
    <t>1/2 BRZ LEV HDL 2PC GAS BV</t>
  </si>
  <si>
    <t>1/2 2 PSI LINE PRES REG</t>
  </si>
  <si>
    <t>1/2X1/2 NPT MALE MJ FTG</t>
  </si>
  <si>
    <t>3/4X3/4 NPT MALE MJ FTG</t>
  </si>
  <si>
    <t>1/2 APPL STUB OUT</t>
  </si>
  <si>
    <t>3/4 APPL STUB OUT</t>
  </si>
  <si>
    <t>3/4X12 MTR STUB OUT</t>
  </si>
  <si>
    <t>QUARTER STRIKER PLT</t>
  </si>
  <si>
    <t>HALF STRIKER PLT</t>
  </si>
  <si>
    <t>Total RIP Cost</t>
  </si>
  <si>
    <t>Total Material Cost</t>
  </si>
  <si>
    <t>Options and Extras</t>
  </si>
  <si>
    <t>Optional Master Closet Door - Split SA Drop between Closet and Bath</t>
  </si>
  <si>
    <t>Optional Tray Ceiling - Move SA to Accommodate</t>
  </si>
  <si>
    <t>Hr</t>
  </si>
  <si>
    <t>Hourly Labor Rate</t>
  </si>
  <si>
    <t>Description</t>
  </si>
  <si>
    <t>Quantity</t>
  </si>
  <si>
    <t>Net Price</t>
  </si>
  <si>
    <t>UM</t>
  </si>
  <si>
    <t>21X21X48 DB SLEEVE -NO CAP R8</t>
  </si>
  <si>
    <t>23-3/4X22X18 PLATFORM BOX</t>
  </si>
  <si>
    <t>1/2" x 1-1/2"-48" DRYWALLFRAME</t>
  </si>
  <si>
    <t>12X10X3-1/2 GAS BOX - NO HOLE</t>
  </si>
  <si>
    <t>24X34 24GA DRN PAN NO HOLE</t>
  </si>
  <si>
    <t>30X34 24GA DRN PAN NO HOLE</t>
  </si>
  <si>
    <t>34X75 24GA DRN PAN</t>
  </si>
  <si>
    <t xml:space="preserve">20 FT LIFT CNDST </t>
  </si>
  <si>
    <t>IX48X120 2" R8 DB 6 SHT cm</t>
  </si>
  <si>
    <t>14X6X9 90 ANGLE BOOT</t>
  </si>
  <si>
    <t>14X6X9 CNTR END BOOT</t>
  </si>
  <si>
    <t>8 MET START COLLAR</t>
  </si>
  <si>
    <t>10 MET START COLLAR</t>
  </si>
  <si>
    <t>4 DB START COLLAR</t>
  </si>
  <si>
    <t>6 DB START COLLAR</t>
  </si>
  <si>
    <t>7 DB START COLLAR</t>
  </si>
  <si>
    <t>8 DB START COLLAR</t>
  </si>
  <si>
    <t>9 DB START COLLAR</t>
  </si>
  <si>
    <t>10 DB START COLLAR</t>
  </si>
  <si>
    <t>12 DB START COLLAR</t>
  </si>
  <si>
    <t>14 DB START COLLAR</t>
  </si>
  <si>
    <t>16 DB START COLLAR</t>
  </si>
  <si>
    <t>6X6X6 26GA WYE</t>
  </si>
  <si>
    <t>8X8X6 26GA WYE</t>
  </si>
  <si>
    <t>9X8X6 26GA WYE</t>
  </si>
  <si>
    <t>4 28GA 90 ELBOW</t>
  </si>
  <si>
    <t>6 30GA 90 ELBOW</t>
  </si>
  <si>
    <t>7 30GA 90 ELBOW</t>
  </si>
  <si>
    <t>8 30GA 90 ELBOW</t>
  </si>
  <si>
    <t>9 30GA 90 ELBOW</t>
  </si>
  <si>
    <t>10 30GA 90 ELBOW</t>
  </si>
  <si>
    <t>12 28GA 90 ELBOW</t>
  </si>
  <si>
    <t>14 28GA 90 ELBOW</t>
  </si>
  <si>
    <t>16 26GA 90 ELBOW</t>
  </si>
  <si>
    <t>6X5 26GA TPRD RED</t>
  </si>
  <si>
    <t>7X4 26GA TPRD RED</t>
  </si>
  <si>
    <t>7X6 26GA TPRD RED</t>
  </si>
  <si>
    <t>8X4 26GA TPRD RED</t>
  </si>
  <si>
    <t>8X7 26GA TPRD RED</t>
  </si>
  <si>
    <t>9X8 26GA TPRD RED</t>
  </si>
  <si>
    <t>10X8 26GA TPRD RED</t>
  </si>
  <si>
    <t>10X9 26GA TPRD RED</t>
  </si>
  <si>
    <t>12X10 26GA TPRD RED</t>
  </si>
  <si>
    <t>16X14 26GA TPRD RED</t>
  </si>
  <si>
    <t>4 26GA END CAP</t>
  </si>
  <si>
    <t>6 26GA END CAP</t>
  </si>
  <si>
    <t>10 26GA END CAP NO CRIvfP</t>
  </si>
  <si>
    <t>100 FT COIL 30 GA GALV HGR STRP</t>
  </si>
  <si>
    <t>120 28GA DRV CLEAT</t>
  </si>
  <si>
    <t>3-1/4X10X60 DUCT WALL STACK</t>
  </si>
  <si>
    <t>8" x 112" OVAL PIPE..</t>
  </si>
  <si>
    <t>8" OVAL STACK HEAD..</t>
  </si>
  <si>
    <t>eA</t>
  </si>
  <si>
    <t>3/4 PVC S40 SXS 90 ST ELL..</t>
  </si>
  <si>
    <t>3/4 PVC J TRAP</t>
  </si>
  <si>
    <t>1 PVC S40 SXS 45 ELL</t>
  </si>
  <si>
    <t>1 PVC S40 SCS 90 ELL</t>
  </si>
  <si>
    <t>1 PVC S40 SXSXS</t>
  </si>
  <si>
    <t>3/4 x 1 PVC REDUCER BUSHING spig X SOC</t>
  </si>
  <si>
    <t>2X10 FT PVC DWV S40 PE PIPE</t>
  </si>
  <si>
    <t>2 PVC S40 SXS 45 ELL</t>
  </si>
  <si>
    <t>2 PVC S40 SXS LS 90 ELL</t>
  </si>
  <si>
    <t>2 PVC S40 PUSH ON CAP</t>
  </si>
  <si>
    <t>3 PVC  SXS 45 ELI,</t>
  </si>
  <si>
    <t>3 PVC S40 SXS COUP</t>
  </si>
  <si>
    <t>AQUAGUARD AGI 100+ PAN FLOAT SWITCH</t>
  </si>
  <si>
    <t>18/08 UL TSTAT WIRE 250 FT SPL</t>
  </si>
  <si>
    <t>32X32X3 PLASTIC EQUIP PAD</t>
  </si>
  <si>
    <t>36X36X3 PLASTIC EQUIP PAD</t>
  </si>
  <si>
    <t>36X40X3 PLASTIC EQUIP PAD</t>
  </si>
  <si>
    <t>1/2 cop CLAD 2H STRP</t>
  </si>
  <si>
    <t>1/4 - 5/8 NHCRO CLW</t>
  </si>
  <si>
    <t>1/2 SS HOSE CI,W 3/8 - 7/8</t>
  </si>
  <si>
    <t>BROAN 16671-1 FAN HOUSING - FAN ONLY</t>
  </si>
  <si>
    <t>BROAN 2677H FAN LIGHT HOUSING</t>
  </si>
  <si>
    <t>BROAN 1688F FAN TRIM</t>
  </si>
  <si>
    <t>BROAN 2678F FAN LIGHT TRIM</t>
  </si>
  <si>
    <t>CCY F80 CFM FAN HSNG PK ENERGY STAR</t>
  </si>
  <si>
    <t>CCY 80CFM MTR W NETAL GRILLE</t>
  </si>
  <si>
    <t>PANASONIC FV-0510S1 FAN HOUSING</t>
  </si>
  <si>
    <t>AOOOHFnfFAN HOUSING ENERGY STAR</t>
  </si>
  <si>
    <t>AE80BF1 CFM FAN FIN PK ENERGY STAR</t>
  </si>
  <si>
    <t>BROAN 744 CAN FAN LIGHT 70 CFM</t>
  </si>
  <si>
    <t>PANASONIC FV-JD Transfer Register Box</t>
  </si>
  <si>
    <t>BROAN MD8TU FRESH AIR KIT</t>
  </si>
  <si>
    <t>BROAN MDTU PRESSURE SWITCH KIT</t>
  </si>
  <si>
    <t>TRUEZONE 2 ZONE CNTL PNL 2H11 C</t>
  </si>
  <si>
    <t>6 AUTO RND  W/ 24V MIR - HONEYWELL</t>
  </si>
  <si>
    <t>8 AUTO RND DWR W/ 24V MIR -HONEYWELL</t>
  </si>
  <si>
    <t>O AUTO RND  W/ 24V M'IR - HONEYWELL</t>
  </si>
  <si>
    <t>12 AUTO RND DMPR W/ 24V MIR - HONEYWELL</t>
  </si>
  <si>
    <t>14 AUTO RND DMPR W/ 24V MIR - HONEYWELL</t>
  </si>
  <si>
    <t>16 AUTO RND DMPR W/ 24V MIR - HONEYWELL</t>
  </si>
  <si>
    <t>8 TRUEZONE BYP CIPRES REG</t>
  </si>
  <si>
    <t>10 TRUEZONE BYP CIPRES REG DMPR</t>
  </si>
  <si>
    <t>12 TRUEZONE BYP CIPRES REG DMPR</t>
  </si>
  <si>
    <t>T4 PRO TH42 IOU2002 (2H11C)</t>
  </si>
  <si>
    <t>T6 PRO TH6220U200 (2H/2C)</t>
  </si>
  <si>
    <t>T6 Z WAVE TH6320ZW2003 (3H/2c)</t>
  </si>
  <si>
    <t>T6 PRO  fr16320WF2003 (3H/2C)</t>
  </si>
  <si>
    <t>TIO PRO WIFI THX321 WF2003W (3H/2c)</t>
  </si>
  <si>
    <t>TIO PRO RED LINK THX321 WFS2001W</t>
  </si>
  <si>
    <t>FA</t>
  </si>
  <si>
    <t>RED LINK ROOM SENSOR cn 89R2002-2</t>
  </si>
  <si>
    <t>GOOGLE NEST T3008US</t>
  </si>
  <si>
    <t>APRIL AIRE R8145 VENTILATOR</t>
  </si>
  <si>
    <t>MANUAL JFFY DAMPER 6"</t>
  </si>
  <si>
    <t>MANUAL JFFY DAMPER 7"</t>
  </si>
  <si>
    <t>MANUAL JIFFY DAMPER 8"</t>
  </si>
  <si>
    <t>MANUAL JIFFY DAMPER 12"</t>
  </si>
  <si>
    <t>ZF 101NDAÌv1PER W MOTOR 14' CBL (ZFRDPIO-14)</t>
  </si>
  <si>
    <t>ZF 121N DAMPER W MOTOR 14' CBL (ZFRDP12-14)</t>
  </si>
  <si>
    <t>ZF ZONE PANEL ELEC 1-3 ZONES (ZFH32P)</t>
  </si>
  <si>
    <t>1 WROT CXC LT90 ELL 1-1/8 OD</t>
  </si>
  <si>
    <t>1/4X5/8X1/2X25 COP PE LINESET</t>
  </si>
  <si>
    <t>14/4  SPLIT TRAY CABLE FOR LINESET</t>
  </si>
  <si>
    <t>5/8 IDX 1/2 PIPE INSUL</t>
  </si>
  <si>
    <t>3/4 IDX 1/2 PIPE INSUL</t>
  </si>
  <si>
    <t>7/8 ID X 1/2 PIPE BISUL TUBE</t>
  </si>
  <si>
    <t>1/2 SHORT FLRNUT</t>
  </si>
  <si>
    <t>3/8 SHIRT REF FLR NUT FORGED</t>
  </si>
  <si>
    <t>3/8 ODX 50 SOFT REF TUBE</t>
  </si>
  <si>
    <t>3/4 OD X 50 SOFT REF TIDE</t>
  </si>
  <si>
    <t>1-1/8 ODX 50 SOFT REF TUBE</t>
  </si>
  <si>
    <t>4X10 FLOOR REGISTER WHITE</t>
  </si>
  <si>
    <t>4X10 FLOOR REGISTER BROWN</t>
  </si>
  <si>
    <t>4X12 FLOOR REGISIER BROWN</t>
  </si>
  <si>
    <t>4X14 FLOOR REGISTER BROWN</t>
  </si>
  <si>
    <t>6X12 FLOOR REGISTER BROWN</t>
  </si>
  <si>
    <t>2X12 TOE KICK REGISTER WHIT</t>
  </si>
  <si>
    <t>2X12 TOE KICK REGISTER BROWN</t>
  </si>
  <si>
    <t>14X20 RG RN AIR GRL 1/2 FIN WHIT</t>
  </si>
  <si>
    <t>20X14 RGRN AR GRL 1/2 FIN WHIT</t>
  </si>
  <si>
    <t>24X12 RG  AIR GRL 1/2 FIN WHIT</t>
  </si>
  <si>
    <t>30X10 RGRTN AIR GRL 1/2 FIN WHIT</t>
  </si>
  <si>
    <t>5X12 ADJ GAS B VENT PPE</t>
  </si>
  <si>
    <t>5 B VENT FLASHNG ADJ</t>
  </si>
  <si>
    <t>4 WHT ALUM UDR EAVE VENT</t>
  </si>
  <si>
    <t>3-1/4 X 10 BROAN 639 WALL CAP</t>
  </si>
  <si>
    <t>3-1/2 DP DRYER BX F/  WALL</t>
  </si>
  <si>
    <t>2" PVC PIPE ROOF BOOT</t>
  </si>
  <si>
    <t>QUICKFLASH 4" PIPE WALL COVER</t>
  </si>
  <si>
    <t>QUICKFLASH 6" PIPE WALL COVER</t>
  </si>
  <si>
    <t>QUICKFLASH 8" PIPE WALL COVER</t>
  </si>
  <si>
    <t>QUICKFLASH WALL LINESET COVER</t>
  </si>
  <si>
    <t>QUICKFLASH WALL LINESET COVER - BRICK</t>
  </si>
  <si>
    <t>QUICKFLASH TAPE</t>
  </si>
  <si>
    <t>FIRE FOAM</t>
  </si>
  <si>
    <t>SILICONE TUBE (EA)</t>
  </si>
  <si>
    <t>ACETYLENE TANK</t>
  </si>
  <si>
    <t>OXYGEN TANK</t>
  </si>
  <si>
    <t>40 CU NITROGEN TANK</t>
  </si>
  <si>
    <t>REFRIG RECLAIM TANK 50 LB</t>
  </si>
  <si>
    <t>36" PANDUIT STRAPS</t>
  </si>
  <si>
    <t>DUCT SEAL WHTE DP1030G - GALLON</t>
  </si>
  <si>
    <t>DUCT SEAL GRAY DP1030ATLGR - GALLON</t>
  </si>
  <si>
    <t>DUCT SEAL  DP1010 - TUBE..</t>
  </si>
  <si>
    <t>3X60 AF099 FOIL TAPE SILVER UL 181A</t>
  </si>
  <si>
    <t>4X4X8 CONCRETE BRICK</t>
  </si>
  <si>
    <t>ACETYLENE TANK - REFILL ONLY</t>
  </si>
  <si>
    <t>OXYGEN TANK - REFILL ONLY</t>
  </si>
  <si>
    <t>40 CU NITROGEN TANK - REFILL ONLY</t>
  </si>
  <si>
    <t>72B WIRE NUT BLUE IOOPK</t>
  </si>
  <si>
    <t>73B WRE NUT ORAN IOOPK</t>
  </si>
  <si>
    <t>74B WIRE NUT YELL IOOPK</t>
  </si>
  <si>
    <t>5/8 ID X 100 CLR VINYL TUBE</t>
  </si>
  <si>
    <t>4X4 RUB &amp; CORK ANTI  PAD</t>
  </si>
  <si>
    <t>*0219 LF 6% SILV BRAZ ROD</t>
  </si>
  <si>
    <t>BLUE PIPE COMPOUND 1/2 PINT</t>
  </si>
  <si>
    <t>SUPERSEAL FLEX NJ SEAL</t>
  </si>
  <si>
    <t>8 OZ PVC HD CLR CMM</t>
  </si>
  <si>
    <t>10X1-1/4 PLAS ANCR KIT IOOPCS</t>
  </si>
  <si>
    <t>BIT TIP TAP SCRW 100 H/HD 1/4</t>
  </si>
  <si>
    <t>8X3/4 BIT TIP TAP SCRW 1000  1/4</t>
  </si>
  <si>
    <t>8X3/4 ZIP SCRW H/HD 1/4</t>
  </si>
  <si>
    <t>8X2 ZIP SCRW WI-yr 250 WI-D 1/4</t>
  </si>
  <si>
    <t>DRYWALL SCREWS</t>
  </si>
  <si>
    <t>3/4X60 BLACK ELEC TAPE</t>
  </si>
  <si>
    <t>440 BUTYL GSKT TAPE</t>
  </si>
  <si>
    <t>REGISIER TEXTURE WHITE SPRAY PAINT</t>
  </si>
  <si>
    <t>BLACK FLAT SPRAY PAINT..</t>
  </si>
  <si>
    <t>WHITE SPRAY PAINT.</t>
  </si>
  <si>
    <t>BROWN SPRAY PAINT..</t>
  </si>
  <si>
    <t>ROOF TAR</t>
  </si>
  <si>
    <t>THUMB GUM</t>
  </si>
  <si>
    <t>1"  TAG - GAS METER 25 pk</t>
  </si>
  <si>
    <t>1/2 LIQUIDIITE (LN ET)</t>
  </si>
  <si>
    <t>1/2 LIQUIDflTE SIRT CONN..</t>
  </si>
  <si>
    <t>3/8 VINYL TUBING (100' ROLL)</t>
  </si>
  <si>
    <t>1/2X3/4 BARBED X MALE PLASTIC ADAPTER..</t>
  </si>
  <si>
    <t>1/2 HOSE CLAMP</t>
  </si>
  <si>
    <t>SHOE COVERS (BOX)</t>
  </si>
  <si>
    <t>PRO FLUSH 160Q PF-16..</t>
  </si>
  <si>
    <t>THERMO-TRAP SPRAY 32 OZ Heat Dissapating..</t>
  </si>
  <si>
    <t>MARKEL OUIDOOR TSTAT SPDT..</t>
  </si>
  <si>
    <t>GOODMAN GOTI 860A OUTDOOR SENSOR</t>
  </si>
  <si>
    <t>1-5/8X1-5/8X10 14 GREE WSL STRUT</t>
  </si>
  <si>
    <t>White Squeegee</t>
  </si>
  <si>
    <t>Dewalt 20 V MAX 5/8 HAMMER DRILL</t>
  </si>
  <si>
    <t>DEWALT MAX Cordless RECIP SAW</t>
  </si>
  <si>
    <t>NflLWAUKEE M18 2 Gallon Wet Vac</t>
  </si>
  <si>
    <t>Milwakee Ml 8 Cordless Drill and Impact</t>
  </si>
  <si>
    <t>Milwakiee Jobsite Tech Bag</t>
  </si>
  <si>
    <t>FLARING TOOL KIT</t>
  </si>
  <si>
    <t>1/4 - 7/8 TUBING BENDER KIT</t>
  </si>
  <si>
    <t>PVC TUBING CUITERS</t>
  </si>
  <si>
    <t>1/2 - 3/4 BLK POLY TWIN CLAMP</t>
  </si>
  <si>
    <t>1/2 BLK 150# COUP</t>
  </si>
  <si>
    <t>1/2XCLOSE BLK STL</t>
  </si>
  <si>
    <t>1/2x2 BLK STL NIP</t>
  </si>
  <si>
    <t>1/2X6 BLK SIL NIP</t>
  </si>
  <si>
    <t>1/2X8 BLK STL NIP</t>
  </si>
  <si>
    <t>1/2 OD X 1/2  FLR UNION</t>
  </si>
  <si>
    <t>3/4 2 PSI LINE PRES REG</t>
  </si>
  <si>
    <t>1/2X100 CSST TUBE (PER ROLL)</t>
  </si>
  <si>
    <t>3/4X50 CSST TUBE (PER ROLL)</t>
  </si>
  <si>
    <t>1/2 MANIFOLD W 4 1/2 OUT</t>
  </si>
  <si>
    <t>FULL STRIKER PIST</t>
  </si>
  <si>
    <t>DOUBLE TOP STRIKER PLATE</t>
  </si>
  <si>
    <t>IXI FT STRIP WND HOSE</t>
  </si>
  <si>
    <t>1 1/2X1 FT STRIP WND HOSE</t>
  </si>
  <si>
    <t>WARD MANIFOLD BRACKET</t>
  </si>
  <si>
    <t>3/4 BLK 150# BRS GJ UNION</t>
  </si>
  <si>
    <t>3/4 BLKM 150# 45 ELL</t>
  </si>
  <si>
    <t>3/4 BLKW 150# 90 ELL</t>
  </si>
  <si>
    <t>3/4 BLK 150# ST 90 ELL</t>
  </si>
  <si>
    <t>3/4 BLK Ml 150# COUP</t>
  </si>
  <si>
    <t>3/4XCLOSE BLK STL NIP</t>
  </si>
  <si>
    <t>3/4X2 BLK STL NIP</t>
  </si>
  <si>
    <t>3/4X3 BLK STL NIP</t>
  </si>
  <si>
    <t>3/4 BLK SLD PLUG</t>
  </si>
  <si>
    <t>3/4 BLK 150# TEE</t>
  </si>
  <si>
    <t>3/4 BRZ LEV HDL 2PC GAS BV</t>
  </si>
  <si>
    <t>3/4 OD X 3/4  FIR UNION</t>
  </si>
  <si>
    <t>3/4 x 1/2" BLK BELL REDUCER</t>
  </si>
  <si>
    <t>LP GAS STICKER</t>
  </si>
  <si>
    <t>Log Lighter Valve PFBVL2 1/2 in. FIP Connection Chrome Plated Straight</t>
  </si>
  <si>
    <t>PROFLO ZINC 10 IN LOG LIGHTER KEY</t>
  </si>
  <si>
    <t>WARDF1ex 3-1/10 X 6-4/5 X 6-4/5 IN NPT GAS SUPPLY BOX</t>
  </si>
  <si>
    <t>3/8X2 BLK sn NIP</t>
  </si>
  <si>
    <t>1/2 X 3/8 BELL REDUCER</t>
  </si>
  <si>
    <t>1 x 3/4 BELL REDUCER</t>
  </si>
  <si>
    <t>1 BLKNfl 150# COUP</t>
  </si>
  <si>
    <t>16-1/2 X 25-1/2 X 18 RTN AIR BOX R8</t>
  </si>
  <si>
    <t>4RDH 4" DRAFT HOOD CONNECTOR B VENT PIPE</t>
  </si>
  <si>
    <t>11-1/4X18X24 DB SLEEVE NO CAP R8</t>
  </si>
  <si>
    <t>14-1/2X18X48DB SLEEVE NO CAP R8</t>
  </si>
  <si>
    <t>12-1/2 X 12-1/2 X 12  METAL BOX (UNINSUL)</t>
  </si>
  <si>
    <t>14-1/2 X 14-1/2 X 12 METAL  BOX (UNINSUL)</t>
  </si>
  <si>
    <t>18X18X24 DB SLEEVE NO CAP R8</t>
  </si>
  <si>
    <t>21X21X24 DB PLENUM W CAP</t>
  </si>
  <si>
    <t>21X2IX24 DB SLEEVE NO CAP R8</t>
  </si>
  <si>
    <t>2IX21X48 DB PLENUM W CAP R8</t>
  </si>
  <si>
    <t>16-1/2X16-1/2 X 12  METAL BOX (UNINSUL)</t>
  </si>
  <si>
    <t>20-1/2 X 14-1/2 X 12 METAL BOX (UNINSUL)</t>
  </si>
  <si>
    <t>24-1/2 X 12-1/2 X 12  METAL BOX (UNINSUL)</t>
  </si>
  <si>
    <t>25-1/2 X14-1/2 X 12  METAL BOX (UNINSUL)</t>
  </si>
  <si>
    <t>12-1/2 X 12-1/2 X 12 METAL BOX R8</t>
  </si>
  <si>
    <t>14-1/2 X 14-1/2 x 12  METAL BOX R8</t>
  </si>
  <si>
    <t>16-1/2 X 16-1/2 X 12  METAL BOX R8</t>
  </si>
  <si>
    <t>20-1/2 X 14-1/2 X 12 METAL BOX R8</t>
  </si>
  <si>
    <t>20-1/2 X 20-1/2 X 12  METAL BOX R8</t>
  </si>
  <si>
    <t>24-1/2 X 12-1/2 X 12  METAL BOX R8</t>
  </si>
  <si>
    <t>25-1/2 X 14-1/2 X 12  R8 METAL BOX R8</t>
  </si>
  <si>
    <t>25-1/2 X 16-1/2 X 12 METAL BOX R8</t>
  </si>
  <si>
    <t>25-1/2 X 20-1/2 X 12 METAL BOX R8</t>
  </si>
  <si>
    <t>4X4 METAL STRIP 48" LONG</t>
  </si>
  <si>
    <t>4X4 WALL CAP HOOD - LINESET COVER</t>
  </si>
  <si>
    <t>14X6X9 STRT BOOT</t>
  </si>
  <si>
    <t>6 MET START COLLAR</t>
  </si>
  <si>
    <t>4 MET START COLLAR</t>
  </si>
  <si>
    <t>7 MET START COLLAR</t>
  </si>
  <si>
    <t>9 MET START COLLAR</t>
  </si>
  <si>
    <t>12 MET START COLLAR</t>
  </si>
  <si>
    <t>14 MET START COLLAR</t>
  </si>
  <si>
    <t>16 MET START COLLAR</t>
  </si>
  <si>
    <t>18 MET START COLL</t>
  </si>
  <si>
    <t>20 MET START COLL</t>
  </si>
  <si>
    <t>18 DB START COLLAR</t>
  </si>
  <si>
    <t>20 DB START COLLAR</t>
  </si>
  <si>
    <t>4 DB COLLAR W/DWR</t>
  </si>
  <si>
    <t>6 DB COLLAR W/DWR</t>
  </si>
  <si>
    <t>7 DB COLLAR W/ DMPR</t>
  </si>
  <si>
    <t>8 DB COLLAR W/ DMPR</t>
  </si>
  <si>
    <t>9 DB COLLAR W/ DMPR</t>
  </si>
  <si>
    <t>10 DB COLLAR W/ DMPR</t>
  </si>
  <si>
    <t>12XI0XI0 26GA WYE</t>
  </si>
  <si>
    <t xml:space="preserve">14X12X12 26GAWYE </t>
  </si>
  <si>
    <t>Box Qty</t>
  </si>
  <si>
    <t>4 ADHESIVE SADDLE TAKEOFF</t>
  </si>
  <si>
    <t>6 ADHESIVE SADDLE TAKEOFF</t>
  </si>
  <si>
    <t>7 ADHESIVE SADDLE TAKEOFF</t>
  </si>
  <si>
    <t>8 ADHESIVE SADDLE TAKEOFF</t>
  </si>
  <si>
    <t>9 ADHESIVE SADDLE TAKEOFF</t>
  </si>
  <si>
    <t>10 ADHESIVE SADDLE TAKEOFF</t>
  </si>
  <si>
    <t>4 ADHESIVE SADDLE TAKEOFF W DAMPER</t>
  </si>
  <si>
    <t>6 ADHESIVE SADDLE TAKEOFF W DAMPER</t>
  </si>
  <si>
    <t>7 ADHESIVE SADDLE TAKEOFF W DAMPER</t>
  </si>
  <si>
    <t>8 ADHESIVE SADDLE TAKEOFF W DAMPER</t>
  </si>
  <si>
    <t>5X4 26GA REDUCER</t>
  </si>
  <si>
    <t>4X3 26GA RED NO CRMP</t>
  </si>
  <si>
    <t>6X4 26GA TPRD RED</t>
  </si>
  <si>
    <t>8X6 26GA TPRD RED</t>
  </si>
  <si>
    <t>14XIO 26GA TPRD RED</t>
  </si>
  <si>
    <t>14X12 26GA TPRD RED</t>
  </si>
  <si>
    <t>7 26GA END CAP</t>
  </si>
  <si>
    <t>8 26GA END CAP</t>
  </si>
  <si>
    <t>6 ROUND BACKDRAFT DAMPER</t>
  </si>
  <si>
    <t>16 GA ANGLE 2X2</t>
  </si>
  <si>
    <t>3-1/4X10 END CAP</t>
  </si>
  <si>
    <t>8" OVAL TO ROUND STR BOOT..</t>
  </si>
  <si>
    <t>8 ROUND BACKDRAFT DAMPER</t>
  </si>
  <si>
    <t>8X25 BLAC VINYL FLEX AIR DUCT R4.2</t>
  </si>
  <si>
    <t>1X10 PVC DWV S40 PE PIPE</t>
  </si>
  <si>
    <t>SSI INLNE OVERFLOW SAFE-T-SWCH</t>
  </si>
  <si>
    <t>SS2 SEC LINE OVERFLOW SAFE-T-SWC</t>
  </si>
  <si>
    <t>A110 CFM FAN</t>
  </si>
  <si>
    <t>BROAN FLEX 80 CFM FAN W LED ENERGY</t>
  </si>
  <si>
    <t>PANASONIC FV-0810SS 1 EXHAUST FAN</t>
  </si>
  <si>
    <t>BROAN MD10TU FRESH AIR</t>
  </si>
  <si>
    <t>APRIL AIRE 8100 ERV</t>
  </si>
  <si>
    <t>HONEYWELL F100 16X20 MEDIA CABINET..</t>
  </si>
  <si>
    <t>HONEYWELL F100 16X25 MEDIA CABINET</t>
  </si>
  <si>
    <t>HONEYWELL F100 20X20 MEDIA CABINET</t>
  </si>
  <si>
    <t>HONEYWELL F100 20X25 MEDIA CABINET</t>
  </si>
  <si>
    <t>MANUAL JIFFY DAMPER  9"</t>
  </si>
  <si>
    <t>MANUAL JIFFY DAMPER 10"</t>
  </si>
  <si>
    <t>MANUAL JFFY DAMPER 4"</t>
  </si>
  <si>
    <t>ZF 14IN DAMPER W MOTOR 14' CBL (ZFRDP14-14)</t>
  </si>
  <si>
    <t>ZF 161N DAMPER W MOTOR 14' CBL (ZFRDP16-14)</t>
  </si>
  <si>
    <t>ZF 20X20 DAIvPER (ZDSP2020)</t>
  </si>
  <si>
    <t>ZF 81N BYPASS DAMPER (ZFSPAD8)</t>
  </si>
  <si>
    <t>ZF 10 INBYPASS DAMPER (ZFSPADIO)</t>
  </si>
  <si>
    <t>ZF 12 IN BYPASS DAIvfPER (ZFSPAD12)</t>
  </si>
  <si>
    <t>ZF 14 IN BYPASS DAÌVPER (ZFSPAD14)</t>
  </si>
  <si>
    <t>ZF ZONE PANEL GAS 2 ZONES (ZFMMP2)</t>
  </si>
  <si>
    <t>ZF ZONE PANEL GAS 3 ZONES (ZFMMP3)</t>
  </si>
  <si>
    <t>1/8 0D EXT COP TUBE 6 PK</t>
  </si>
  <si>
    <t>1/2 ID WROT FTGXC ST 45 ELL 5/8 OD</t>
  </si>
  <si>
    <t>1/4X1/2X1/2X50 COP PE LINESET</t>
  </si>
  <si>
    <t>12X4 2W 2 WAY REG WHITE</t>
  </si>
  <si>
    <t>14X4 2W 2 WAY REG WHITE</t>
  </si>
  <si>
    <t>10X6 2W 2 WAY REG WHITE</t>
  </si>
  <si>
    <t>12X6 2W 2 WAY REG WHITE</t>
  </si>
  <si>
    <t>14X6 2W 2 WAY REG WHITE</t>
  </si>
  <si>
    <t>14X8 2W 2 WAY REG WHITE</t>
  </si>
  <si>
    <t>4X12 FLOOR REGISIER WHITE</t>
  </si>
  <si>
    <t>4X14 FLOOR REGISTER WHITE</t>
  </si>
  <si>
    <t>6X14 FLOOR REGISTER BROWN</t>
  </si>
  <si>
    <t>2X14 TOE KICK REGISTER BROWN</t>
  </si>
  <si>
    <t>10X4 RETURN AIR GRL 1/2 FIN WHIT</t>
  </si>
  <si>
    <t>12X6 RETURN AIR GRL 1/2 FIN WHIT</t>
  </si>
  <si>
    <t>14X6 RETURN AIR GRL 1/2 FIN WHIT</t>
  </si>
  <si>
    <t>14X8 RETURN AIR GRL 1/2 FIN WHIT</t>
  </si>
  <si>
    <t>14X10 RETURN AIR GRL 1/2 FIN WHIT</t>
  </si>
  <si>
    <t>I0XI0 RG RTN AIR GRL 1/2 FIN WHIT</t>
  </si>
  <si>
    <t>16X16 RG AIR GRL 1/2 FIN WHIT</t>
  </si>
  <si>
    <t>20X20 RG  AIR GRL 1/2 FIN WHIT</t>
  </si>
  <si>
    <t>20X10 RG RTN AIR  1/2 FIN WHIT</t>
  </si>
  <si>
    <t>25X16 RGRTN AIR GRL 1/2 FIN WHIT</t>
  </si>
  <si>
    <t>25X14 RG RTN AIR GRL 1/2 FIN WHIT</t>
  </si>
  <si>
    <t>25x20 RG RTN AIR GRL 1/2 FIN WHIT</t>
  </si>
  <si>
    <t>25X14 FG RTN FLTR GRL 1/2 FIN WHIT</t>
  </si>
  <si>
    <t>14X20X1 F/GLS AIR FLTR</t>
  </si>
  <si>
    <t>14X25X1 F/GLS AIR FLTR</t>
  </si>
  <si>
    <t>16X20X1 F/GLS AIR FLTR</t>
  </si>
  <si>
    <t>16X25X1F/GLS AIR FLTR</t>
  </si>
  <si>
    <t>4X12 ADJ GAS BVENT IPE</t>
  </si>
  <si>
    <t>4 SUPPORT ASSEMBLY</t>
  </si>
  <si>
    <t>5X12 GAS B VENT  PIPE</t>
  </si>
  <si>
    <t>4 PLAS DRYER V/HOOD W TLPC WHIT ASSEMBLY</t>
  </si>
  <si>
    <t>4 PLAS DRYER V/HOOD W TLPC BROWN ASSEMBLY</t>
  </si>
  <si>
    <t>8 GALV WALL VENT W/ SCRN &amp; DMPR</t>
  </si>
  <si>
    <t>10 GALV WALL VENT W/ SCRN &amp; DMPR</t>
  </si>
  <si>
    <t>ROOF CAP 6 BLACK PLASTIC W DAMPER</t>
  </si>
  <si>
    <t>ROOF CAP 8 BLACK PLASTIC W DAMPER</t>
  </si>
  <si>
    <t>BROAN ROOF CAP 6 - 8 RND OR 3-1/4X10 DUCT</t>
  </si>
  <si>
    <t>ROOF CAP 10 BLACK PLASTIC W DAMPER</t>
  </si>
  <si>
    <t>10 X 12 16 GA NAIL PLATE</t>
  </si>
  <si>
    <t>5X18 16 GA NAIL PLATE</t>
  </si>
  <si>
    <t>2 WOOD CHIP BRSH</t>
  </si>
  <si>
    <t>3/8X1/2 BARBED X MALE PLASTIC ADAPTER..</t>
  </si>
  <si>
    <t>3/8X3/4 BARBED X MALE PLASTIC ADAPIER</t>
  </si>
  <si>
    <t>HEAT REST FLAME\ SHIELD</t>
  </si>
  <si>
    <t>3/8 MIP X 3/8 MIP X 24 GAS CONNECTOR</t>
  </si>
  <si>
    <t>1/2 MIP X 1/2 MIP X 24 GAS CONNECTOR</t>
  </si>
  <si>
    <t>1/2 MIP X 1/2 MIP X 36 GAS CONNECTOR</t>
  </si>
  <si>
    <t>3/4 MIP X 3/4 MIP X 36 GAS CONNECTOR</t>
  </si>
  <si>
    <t>1/2X10 BLK A53A S40 PIPE</t>
  </si>
  <si>
    <t>1/2 BLK MI 150# ST 90</t>
  </si>
  <si>
    <t>1/2X4 BLK  NIP</t>
  </si>
  <si>
    <t>1/2 BLK Ml STL PLUG</t>
  </si>
  <si>
    <t>1/2X50 CSST TUBE (50 foot roll)</t>
  </si>
  <si>
    <t>1/2X250 CSST TUBE (PER ROLL)</t>
  </si>
  <si>
    <t>3/4XI00 CSST TUBE (PER ROLL)</t>
  </si>
  <si>
    <t>3/4X250 CSST TUBE (PER ROLL)</t>
  </si>
  <si>
    <t>1/2X1/2 NPT FEMALE MJ FTG</t>
  </si>
  <si>
    <t>3/4X3/4 NPT FEMALE MJ FTG</t>
  </si>
  <si>
    <t>1/2X7 MTR STUB OUT</t>
  </si>
  <si>
    <t>1/2X12 STUB OUT</t>
  </si>
  <si>
    <t>3/4X7 MTR STUB OUT</t>
  </si>
  <si>
    <t>3/4" 0-30 PSI GAS TEST GAUGE</t>
  </si>
  <si>
    <t>1/2" 0-15 PSI GAS TEST GAUGE</t>
  </si>
  <si>
    <t>3/4X10 BLK T&amp;C A53A S40 PIPE</t>
  </si>
  <si>
    <t>3/4 BLK 150# CAP</t>
  </si>
  <si>
    <t>3/4X1-1/2 BLK STL NIP</t>
  </si>
  <si>
    <t>3/4X4 BLK SIL NIP</t>
  </si>
  <si>
    <t>3/4X6 BLK STL NIP</t>
  </si>
  <si>
    <t>3/4X12 BLK STL NIP</t>
  </si>
  <si>
    <t>2 PSI GAS STICKER</t>
  </si>
  <si>
    <t>GAS STICKER SM OVAL 1OOO/ROLL</t>
  </si>
  <si>
    <t>#12 X 500 RL GAS IRCR WIRE X</t>
  </si>
  <si>
    <t>CHAMPION-ARROWHEAD 1/2X12 POLISHED CHROME STRAIGHT LOG LlGHTER</t>
  </si>
  <si>
    <t>1X50 CSST TUBE (PER ROLL)</t>
  </si>
  <si>
    <t>1X100 CSST TUBE (PER ROLL)</t>
  </si>
  <si>
    <t>1 X 7 MTR STUB OUT</t>
  </si>
  <si>
    <t>9 26GA END CAP NO CRIMP</t>
  </si>
  <si>
    <t>MATERIALS</t>
  </si>
  <si>
    <t>ExportId</t>
  </si>
  <si>
    <t>ItemName</t>
  </si>
  <si>
    <t>ItemDescription</t>
  </si>
  <si>
    <t>PurchaseUnit</t>
  </si>
  <si>
    <t>UnitOfMeasure</t>
  </si>
  <si>
    <t>CoverageRatePurchase</t>
  </si>
  <si>
    <t>CoverageRateMeasured</t>
  </si>
  <si>
    <t>FolderLevel1</t>
  </si>
  <si>
    <t>FolderLevel2</t>
  </si>
  <si>
    <t>FolderLevel3</t>
  </si>
  <si>
    <t>FolderLevel4</t>
  </si>
  <si>
    <t>FolderLevel5</t>
  </si>
  <si>
    <t>CostType1</t>
  </si>
  <si>
    <t>UnitCost1</t>
  </si>
  <si>
    <t>AccountingCode1</t>
  </si>
  <si>
    <t>CostType2</t>
  </si>
  <si>
    <t>UnitCost2</t>
  </si>
  <si>
    <t>AccountingCode2</t>
  </si>
  <si>
    <t>CostType3</t>
  </si>
  <si>
    <t>UnitCost3</t>
  </si>
  <si>
    <t>AccountingCode3</t>
  </si>
  <si>
    <t>CostType4</t>
  </si>
  <si>
    <t>UnitCost4</t>
  </si>
  <si>
    <t>AccountingCode4</t>
  </si>
  <si>
    <t>CostType5</t>
  </si>
  <si>
    <t>UnitCost5</t>
  </si>
  <si>
    <t>AccountingCode5</t>
  </si>
  <si>
    <t>ExternalId</t>
  </si>
  <si>
    <t>Back Charges</t>
  </si>
  <si>
    <t>each</t>
  </si>
  <si>
    <t>COGS</t>
  </si>
  <si>
    <t>NS50920</t>
  </si>
  <si>
    <t>NS50940</t>
  </si>
  <si>
    <t>NS50950</t>
  </si>
  <si>
    <t>Non-Taxable Sales Tax</t>
  </si>
  <si>
    <t>NS50900</t>
  </si>
  <si>
    <t>Permits</t>
  </si>
  <si>
    <t>NS50910</t>
  </si>
  <si>
    <t>NS50930</t>
  </si>
  <si>
    <t>NS50960</t>
  </si>
  <si>
    <t>NS50970</t>
  </si>
  <si>
    <t>Delivery Labor - Material Delivery to Jobsite</t>
  </si>
  <si>
    <t>Delivery Labor</t>
  </si>
  <si>
    <t>NS50830</t>
  </si>
  <si>
    <t>FQI Labor</t>
  </si>
  <si>
    <t>NS50820</t>
  </si>
  <si>
    <t>Diversitech SpeediChannel Kit - Gutter</t>
  </si>
  <si>
    <t>FQI Material</t>
  </si>
  <si>
    <t>R410A REFRIGERANT</t>
  </si>
  <si>
    <t>Gas Incentive Labor</t>
  </si>
  <si>
    <t>NS50890</t>
  </si>
  <si>
    <t>Gas Labor - Air Test - Pressure</t>
  </si>
  <si>
    <t>Gas Labor</t>
  </si>
  <si>
    <t>NS50800</t>
  </si>
  <si>
    <t>Gas Labor - Appliance Box</t>
  </si>
  <si>
    <t>NS50740</t>
  </si>
  <si>
    <t>Gas Labor - Drive Time beyond 1 hour</t>
  </si>
  <si>
    <t>NS50810</t>
  </si>
  <si>
    <t>Gas Labor - Gas Lantern Set Up</t>
  </si>
  <si>
    <t>NS50760</t>
  </si>
  <si>
    <t>Gas Labor - Home Run Gas Line Length Adder (100' +)</t>
  </si>
  <si>
    <t>NS50790</t>
  </si>
  <si>
    <t>Gas Labor - Home Run Gas Line Length Adder (25' - 50')</t>
  </si>
  <si>
    <t>NS50770</t>
  </si>
  <si>
    <t>Gas Labor - Home Run Gas Line Length Adder (51' -100')</t>
  </si>
  <si>
    <t>NS50780</t>
  </si>
  <si>
    <t>Gas Labor - Key Valve</t>
  </si>
  <si>
    <t>NS50750</t>
  </si>
  <si>
    <t>Gas Labor - Log Lighter</t>
  </si>
  <si>
    <t>NS50720</t>
  </si>
  <si>
    <t>Gas Labor - Manifold</t>
  </si>
  <si>
    <t>NS50730</t>
  </si>
  <si>
    <t>Gas Labor - Meter / House Set Up</t>
  </si>
  <si>
    <t>NS50670</t>
  </si>
  <si>
    <t>Gas Labor - Per Gas Opening - Tankless WH</t>
  </si>
  <si>
    <t>NS50690</t>
  </si>
  <si>
    <t>Gas Labor - Per Gas Opening (Gas Furnace, WH, FP, Range, etc)</t>
  </si>
  <si>
    <t>NS50680</t>
  </si>
  <si>
    <t>Gas Labor - Tonnage (outdoor Unit only)</t>
  </si>
  <si>
    <t>NS50660</t>
  </si>
  <si>
    <t>Gas Labor - Upsize Home Run Gas Line - Â½" up to Â¾" CSST</t>
  </si>
  <si>
    <t>NS50710</t>
  </si>
  <si>
    <t>Gas Labor - UpsizeGas Main to Manifold - Â½" up to Â¾" CSST</t>
  </si>
  <si>
    <t>NS50700</t>
  </si>
  <si>
    <t>#12 X 500 RL GAS TRCR WIRE X</t>
  </si>
  <si>
    <t>Gas Material</t>
  </si>
  <si>
    <t>1 BLK MI 150# COUP</t>
  </si>
  <si>
    <t>1 X 100FT CSST</t>
  </si>
  <si>
    <t>1 X 50FT CSST</t>
  </si>
  <si>
    <t>1 X 7 MTR STUBOUT</t>
  </si>
  <si>
    <t>1/2 BLK MI 150# COUP</t>
  </si>
  <si>
    <t>1/2 BLK MI SLD PLUG</t>
  </si>
  <si>
    <t>1/2 BLK ST 90</t>
  </si>
  <si>
    <t>1/2 MIP X 1/2 MIP X 24 GAS CONN</t>
  </si>
  <si>
    <t>1/2 MIP X 1/2 MIP X 36 GAS CONN</t>
  </si>
  <si>
    <t>1/2 OD X 1/2 MIP FLR UNION</t>
  </si>
  <si>
    <t>1/2X1/2 NPT FEM MJ FTG</t>
  </si>
  <si>
    <t>1/2X10 BLK T&amp;C A53A S40 PIPE</t>
  </si>
  <si>
    <t>1/2X12 MTR STUB OUT</t>
  </si>
  <si>
    <t>1/2X2 BLK STL NIP</t>
  </si>
  <si>
    <t>1/2X4 BLK STL NIP</t>
  </si>
  <si>
    <t>1/2X6 BLK STL NIP</t>
  </si>
  <si>
    <t>1/2XCLOSE BLK STL NIP</t>
  </si>
  <si>
    <t>1X1 FT STRIP WND HOSE</t>
  </si>
  <si>
    <t>3/4 BLK MI 150# 45 ELL</t>
  </si>
  <si>
    <t>3/4 BLK MI 150# 90 ELL</t>
  </si>
  <si>
    <t>3/4 BLK MI 150# BRS GJ UNION</t>
  </si>
  <si>
    <t>3/4 BLK MI 150# CAP</t>
  </si>
  <si>
    <t>3/4 BLK MI 150# COUP</t>
  </si>
  <si>
    <t>3/4 BLK MI 150# ST 90 ELL</t>
  </si>
  <si>
    <t>3/4 BLK MI 150# TEE</t>
  </si>
  <si>
    <t>3/4 BLK MI SLD PLUG</t>
  </si>
  <si>
    <t>3/4 MIP X 3/4 MIP X 36 GAS CONN</t>
  </si>
  <si>
    <t>3/4 OD X 3/4 MIP FLR UNION</t>
  </si>
  <si>
    <t>3/4X100 CSST TUBE (PER ROLL)</t>
  </si>
  <si>
    <t>3/4X3/4 NPT FEM MJ FTG</t>
  </si>
  <si>
    <t>3/4X4 BLK STL NIP</t>
  </si>
  <si>
    <t>3/8 MIP X 3/8 MIP X 24 GAS CONN</t>
  </si>
  <si>
    <t>3/8X2 BLK STL NIP</t>
  </si>
  <si>
    <t>CHAMPION-ARROWHEAD 1/2X12 POLISHED CHROME STRAIGHT LOG LIGHTER VALVE KIT</t>
  </si>
  <si>
    <t>FULL STRIKER PLST</t>
  </si>
  <si>
    <t>GAS STICKER SM OVAL 1000/RL</t>
  </si>
  <si>
    <t>Log Lighter Valve  PFBVL2 1/2 in. FIP Connection Chrome Plated Straight Quarter Turn</t>
  </si>
  <si>
    <t>WARDFlex 3-1/10 X 6-4/5 X 6-4/5 IN NPT GAS SUPPLY BOX</t>
  </si>
  <si>
    <t>General Labor</t>
  </si>
  <si>
    <t>NS50850</t>
  </si>
  <si>
    <t>Roof Labor</t>
  </si>
  <si>
    <t>NS50840</t>
  </si>
  <si>
    <t>Rough Equipment</t>
  </si>
  <si>
    <t>14/4 THHN MINI SPLIT TRAY CABLE FOR LINESET</t>
  </si>
  <si>
    <t>4TXCA002DS3 COIL (1.5-2 TON)</t>
  </si>
  <si>
    <t>4TXCB003DS3 COIL (1.5-3 TON)</t>
  </si>
  <si>
    <t>4TXCB006DS3 COIL (2.5-3 TON)</t>
  </si>
  <si>
    <t>4TXCC009DS3 COIL (3.5-5 TON)..</t>
  </si>
  <si>
    <t>58SB0A070E17--12 80 GAS FURNACE</t>
  </si>
  <si>
    <t>58SB0A090E21--16 80 GAS FURNACE</t>
  </si>
  <si>
    <t>58SB0A090E21--20 80 GAS FURNACE</t>
  </si>
  <si>
    <t>58SB0B045M14--12 80 GAS FURNACE</t>
  </si>
  <si>
    <t>58SB0B070M14--12 80 GAS FURNACE</t>
  </si>
  <si>
    <t>58SB0B070M17--12 80 GAS FURNACE</t>
  </si>
  <si>
    <t>58SB0B090M17--14 80 GAS FURNACE</t>
  </si>
  <si>
    <t>58SB0B090M21--20 80 GAS FURNACE</t>
  </si>
  <si>
    <t>58SB0B110M21--20 80 GAS FURNACE</t>
  </si>
  <si>
    <t>59SC2D040E14--10 92 GAS FURNACE</t>
  </si>
  <si>
    <t>59SC2D040E17--12 92 GAS FURNACE</t>
  </si>
  <si>
    <t>59SC2D060E14--12 92 GAS FURNACE</t>
  </si>
  <si>
    <t>59SC2D060E17--14 92 GAS FURNACE</t>
  </si>
  <si>
    <t>59SC2D080E17--16 92 GAS FURNACE</t>
  </si>
  <si>
    <t>59SC2D080E21--20 92 GAS FURNACE</t>
  </si>
  <si>
    <t>59SC2D100E21--20 92 GAS FURNACE</t>
  </si>
  <si>
    <t>59SC2D120E24--20 92 GAS FURNACE</t>
  </si>
  <si>
    <t>59SC2E040M14--12 92 GAS FURNACE</t>
  </si>
  <si>
    <t>59SC2E040M17--12 92 GAS FURNACE</t>
  </si>
  <si>
    <t>59SC2E060M14--12 92 GAS FURNACE</t>
  </si>
  <si>
    <t>59SC2E060M17--14 92 GAS FURNACE</t>
  </si>
  <si>
    <t>59SC2E080M17--16 92 GAS FURNACE</t>
  </si>
  <si>
    <t>59SC2E080M21--20 92 GAS FURNACE</t>
  </si>
  <si>
    <t>59SC2E100M21--20 92 GAS FURNACE</t>
  </si>
  <si>
    <t>A4AH4E30A1B30A 2/2.5 TON AIR HANDLER-RT (SUB)</t>
  </si>
  <si>
    <t>A4AH5E19A1B30A 1.5 TON AIR HANDLER-RT</t>
  </si>
  <si>
    <t>A4AH5E31A1B30A 2/2.5 TON AIR HANDLER-RT</t>
  </si>
  <si>
    <t>A4AH5E43A1C30A 3/3.5 TON AIR HANDLER-RT</t>
  </si>
  <si>
    <t>A4AH5E49A1C30A 4 TON AIR HANDLER-RT</t>
  </si>
  <si>
    <t>A4AH5E61A1C30A 5 TON AIR HANDLER-RT</t>
  </si>
  <si>
    <t>A4AH6E19A1B30A 1.5 TON AIR HANDLER-RT (SUB)</t>
  </si>
  <si>
    <t>A801X040BM2SCA 80 GAS FURNACE (1.5/2 TON) -RT</t>
  </si>
  <si>
    <t>A801X060BM4SCA 80 GAS FURNACE (2.5/3 TON) -RT</t>
  </si>
  <si>
    <t>A801X080CM5SCA 80 GAS FURNACE (3.5/4 TON) -RT</t>
  </si>
  <si>
    <t>A801X100CM5SCA 80 GAS FURNACE (5 TON) -RT</t>
  </si>
  <si>
    <t>A951X040BU3SAB 93 GAS FURNACE (1.5/2 TON) -RT</t>
  </si>
  <si>
    <t>A951X060BU4SAB 93 GAS FURNACE (2.5/3 TON) -RT</t>
  </si>
  <si>
    <t>A951X080CU5SAB 93 GAS FURNACE (3.5/4 TON) -RT</t>
  </si>
  <si>
    <t>A951X100CU5SAB 93 GAS FURNACE (5 TON) -RT</t>
  </si>
  <si>
    <t>BAYHTR1505LUGB 5KW ELEC HEATER (1.5-2 TON)</t>
  </si>
  <si>
    <t>BAYHTR1508LUGB 8KW ELEC HEATER (2.5-3 TON)</t>
  </si>
  <si>
    <t>BAYHTR1510LUGB 10KW ELEC HEATER (3.5-4 TON)</t>
  </si>
  <si>
    <t>BAYHTR1517LUGB 17KW ELEC HEATER (5 TON)</t>
  </si>
  <si>
    <t>CAPMP2414ALA EVAP COIL</t>
  </si>
  <si>
    <t>CAPMP2417ALA EVAP COIL</t>
  </si>
  <si>
    <t>CAPMP3014ALA EVAP COIL</t>
  </si>
  <si>
    <t>CAPMP3017ALA EVAP COIL</t>
  </si>
  <si>
    <t>CAPMP3617ALA EVAP COIL</t>
  </si>
  <si>
    <t>CAPMP3717ALA EVAP COIL</t>
  </si>
  <si>
    <t>CAPMP4221ALA EVAP COIL</t>
  </si>
  <si>
    <t>CAPMP4321ALA EVAP COIL</t>
  </si>
  <si>
    <t>CAPMP4821ALA EVAP COIL</t>
  </si>
  <si>
    <t>CAPMP6024ALA EVAP COIL</t>
  </si>
  <si>
    <t>CAPMP6121ALA EVAP COIL</t>
  </si>
  <si>
    <t>CBA25UH-018-230 Fan Coil/1.5Ton/230-1</t>
  </si>
  <si>
    <t>CBA25UH-024-230 Fan Coil/2.0Ton/230-1</t>
  </si>
  <si>
    <t>CBA25UH-030-230 Fan Coil/2.5Ton/230-1</t>
  </si>
  <si>
    <t>CBA25UH-036-230 Fan Coil/3.0Ton/230-1</t>
  </si>
  <si>
    <t>CBA25UH-042-230 Fan Coil/3.5Ton/230-1</t>
  </si>
  <si>
    <t>CBA25UH-048-230 Fan Coil/4.0Ton/230-1</t>
  </si>
  <si>
    <t>CBA25UH-060-230 Fan Coil/5.0Ton/230-1</t>
  </si>
  <si>
    <t>CE0501N05T 5 KW Elec Heater Fused</t>
  </si>
  <si>
    <t>CE0801N08TS 8 KW Elec Heater Fused</t>
  </si>
  <si>
    <t>CE0901N10T 10 KW Elec Heater Fused</t>
  </si>
  <si>
    <t>CE3001F15T 15 KW Elec Heater Fused</t>
  </si>
  <si>
    <t>CEF0801N08 CE HEAT KIT (8KW 240V 1) WITH TERMINAL BLOCK</t>
  </si>
  <si>
    <t>CEF0901N10 CE HEAT KIT (10 KW 240V 1) WITH TERMINAL BLOCK</t>
  </si>
  <si>
    <t>CHX35-18A-6F COIL/1.5Ton/Cased</t>
  </si>
  <si>
    <t>CHX35-24A-6F COIL/2 Ton/Cased</t>
  </si>
  <si>
    <t>CHX35-24B-6F COIL/2 Ton/Cased</t>
  </si>
  <si>
    <t>CHX35-30A-6F COIL/2.5 Ton/Cased</t>
  </si>
  <si>
    <t>CHX35-30B-6F COIL/2.5 Ton/Cased</t>
  </si>
  <si>
    <t>CHX35-36A-6F COIL/3 Ton/Cased</t>
  </si>
  <si>
    <t>CHX35-36B-6F COIL/3 Ton/Cased</t>
  </si>
  <si>
    <t>CHX35-36C-6F COIL/3 Ton/Cased</t>
  </si>
  <si>
    <t>CHX35-42B-6F COIL/3.5 Ton/Cased</t>
  </si>
  <si>
    <t>CHX35-42C-6F COIL/3.5 Ton/Cased</t>
  </si>
  <si>
    <t>CHX35-48B-6F COIL/4 Ton/Cased</t>
  </si>
  <si>
    <t>CHX35-48C-6F COIL/4 Ton/Cased</t>
  </si>
  <si>
    <t>CHX35-51/61C-6F COIL/4-5 Ton/Cased</t>
  </si>
  <si>
    <t>CHX35-60D-6F COIL/5 Ton/Cased</t>
  </si>
  <si>
    <t>CX35-24A-6F-20 Coil/2TON/CASED</t>
  </si>
  <si>
    <t>CX35-24B-6F-20 Coil/2TON/CASED</t>
  </si>
  <si>
    <t>CX35-30A-6F-20 Coil/2.5TON/CASED</t>
  </si>
  <si>
    <t>CX35-30B-6F-20 Coil/2.5TON/CASED</t>
  </si>
  <si>
    <t>CX35-36A-6F-20 Coil/3TON/CASED</t>
  </si>
  <si>
    <t>CX35-36B-6F-20 Coil/3TON/CASED</t>
  </si>
  <si>
    <t>CX35-48B-6F-20 Coil/4TON/CASED</t>
  </si>
  <si>
    <t>CX35-48C-6F-20 Coil/4TON/CASED</t>
  </si>
  <si>
    <t>CX35-49C-6F-20 Coil/4TON/CASED</t>
  </si>
  <si>
    <t>CX35-60C-6F-20 Coil/5TON/CASED</t>
  </si>
  <si>
    <t>CX35-60D-6F-20 Coil/5TON/CASED</t>
  </si>
  <si>
    <t>E LITE EQUIPMENT PAD 18X38X3</t>
  </si>
  <si>
    <t>ECBA25-10</t>
  </si>
  <si>
    <t>ECBA25-5</t>
  </si>
  <si>
    <t>ECBA25-7.5</t>
  </si>
  <si>
    <t>FJ4DNXA18L00 1.5 TON AIR HANDLER</t>
  </si>
  <si>
    <t>FJ4DNXB24L00 2 TON AIR HANDLER</t>
  </si>
  <si>
    <t>FJ4DNXB30L00 2.5 TON AIR HANDLER</t>
  </si>
  <si>
    <t>FJ4DNXB36L00 3 TON AIR HANDLER</t>
  </si>
  <si>
    <t>FJ4DNXC42L00 3.5 AIR HANDLER</t>
  </si>
  <si>
    <t>FJ4DNXC48L00 4 TON AIR HANDLER</t>
  </si>
  <si>
    <t>FJ4DNXD60L00 5 TON AIR HANDLER</t>
  </si>
  <si>
    <t>KFFEH0501N05 5KW ELEC HEATER NON-FUSED (2-5 TON)</t>
  </si>
  <si>
    <t>KFFEH0801N08 8KW ELEC HEATER NON-FUSED (2-5 TON)</t>
  </si>
  <si>
    <t>KFFEH0901N10 10KW ELEC HEATER NON-FUSED (2-5 TON)</t>
  </si>
  <si>
    <t>KFFEH3001F15 15KW EEC HEATER (3-5T)</t>
  </si>
  <si>
    <t>KFFEH8501N05 5KW ELEC HEATER NON-FUSED (1.5 TON)</t>
  </si>
  <si>
    <t>LINESET 1/4X5/8X50FT 16/2 14/3 WIRE</t>
  </si>
  <si>
    <t>MITSUBISHI MPKAA24KA7TH ID UNIT 2 TON</t>
  </si>
  <si>
    <t>MITSUBISHI MPUYA24NHA7 OD UNIT 2 TON</t>
  </si>
  <si>
    <t>MITSUBISHI MWBPA5 FRONT WIND BAFFLE</t>
  </si>
  <si>
    <t>ML180UH045E36A Furnace/Gas/45Btuh/3Ton</t>
  </si>
  <si>
    <t>ML180UH070E36A Furnace/Gas/70Btuh/3Ton</t>
  </si>
  <si>
    <t>ML180UH070E36B Furnace/Gas/70Btuh/3Ton</t>
  </si>
  <si>
    <t>ML180UH090E48B  Furnace/Gas/90K BTU 4Ton</t>
  </si>
  <si>
    <t>ML180UH090E60C  Furnace/Gas/90Btuh/5Ton</t>
  </si>
  <si>
    <t>ML180UH110E60C  Furnace/Gas/110Btuh/5Ton</t>
  </si>
  <si>
    <t>ML180UH135E60D  Furnace/Gas/135Btuh/5Ton</t>
  </si>
  <si>
    <t>ML193UH045XE36B Furnace-Gas/45Btuh/3T</t>
  </si>
  <si>
    <t>ML193UH070XE36B Furnace-Gas/70Btuh/3T</t>
  </si>
  <si>
    <t>ML193UH090XE36C Furnace-Gas/90Btuh/3T</t>
  </si>
  <si>
    <t>ML193UH090XE48C Furnace-Gas/90Btuh/4T</t>
  </si>
  <si>
    <t>ML193UH110XE48C Furnace-Gas/110Btuh/4T</t>
  </si>
  <si>
    <t>ML193UH110XE60C Furnace-Gas/110Btuh/5T</t>
  </si>
  <si>
    <t>S8B1A040M3PSC 80 GAS FURNACE (1.5/2 TON) -TRANE</t>
  </si>
  <si>
    <t>S8B1B060M4PSC 80 GAS FURNACE (2.5/3 TON) -TRANE</t>
  </si>
  <si>
    <t>S8B1C080M5PSC 80 GAS FURNACE (3.5/4 TON) -TRANE</t>
  </si>
  <si>
    <t>S8B1C100M5PSC 80 GAS FURNACE (5 TON) -TRANE</t>
  </si>
  <si>
    <t>S9B1B040U3PSA 93 GAS FURNACE (1.5/2 TON) -TRANE</t>
  </si>
  <si>
    <t>S9B1B060U4PSA 93 GAS FURNACE (2.5/3 TON) -TRANE</t>
  </si>
  <si>
    <t>S9B1C080U5PSA 93 GAS FURNACE (3.5/4 TON) -TRANE</t>
  </si>
  <si>
    <t>S9B1C100U5PSA 93 GAS FURNACE (5 TON) -TRANE</t>
  </si>
  <si>
    <t>SAMSUNG 43801423493 FRONT WIND BAFFLE</t>
  </si>
  <si>
    <t>SAMSUNG AR OD UNIT - 1 TON</t>
  </si>
  <si>
    <t>SAMSUNG AR09TSFABWKNCV ID UNIT</t>
  </si>
  <si>
    <t>SAMSUNG AR09TSFACWKXCV OD UNIT</t>
  </si>
  <si>
    <t>SAMSUNG AR12TSFYBWKNCV  ID UNIT - 1 TON</t>
  </si>
  <si>
    <t>SAMSUNG AR24TSFYBWKNCV ID UNIT 2 TON</t>
  </si>
  <si>
    <t>SAMSUNG AR24TSFYBWKXCV OD UNIT 2 TON</t>
  </si>
  <si>
    <t>TEM4A0B31M31 2.5 TON AIR HANDLER- TRANE</t>
  </si>
  <si>
    <t>TEM4A0C43M41 3.5 TON AIR HANDLER- TRANE</t>
  </si>
  <si>
    <t>TEM4A0C49M41 4 TON AIR HANDLER- TRANE</t>
  </si>
  <si>
    <t>TEM4B0B24M21 1.5/2 TON AIR HANDLER- TRANE</t>
  </si>
  <si>
    <t>TEM4B0C37M31 3 TON AIR HANDLER- TRANE</t>
  </si>
  <si>
    <t>TEM4B0C60S51 5 TON AIR HANDLER- TRANE</t>
  </si>
  <si>
    <t>Rough Incentive Labor</t>
  </si>
  <si>
    <t>NS50870</t>
  </si>
  <si>
    <t>Rough Labor - Barometric Bypass Damper</t>
  </si>
  <si>
    <t>Rough Labor</t>
  </si>
  <si>
    <t>NS50110</t>
  </si>
  <si>
    <t>Rough Labor - Combustion Air Duct</t>
  </si>
  <si>
    <t>NS50290</t>
  </si>
  <si>
    <t>Rough Labor - Copper Lineset (50' Max)</t>
  </si>
  <si>
    <t>NS50170</t>
  </si>
  <si>
    <t>Rough Labor - Copper Lineset (Ea Additional 25' Adder)</t>
  </si>
  <si>
    <t>NS50180</t>
  </si>
  <si>
    <t>Rough Labor - Drive Time beyond 1 hour</t>
  </si>
  <si>
    <t>NS50340</t>
  </si>
  <si>
    <t>Rough Labor - Dryer Vent - Ducted</t>
  </si>
  <si>
    <t>NS50140</t>
  </si>
  <si>
    <t>Rough Labor - Dryer Vent - Wall Cap only</t>
  </si>
  <si>
    <t>NS50150</t>
  </si>
  <si>
    <t>Rough Labor - Exhaust Fan</t>
  </si>
  <si>
    <t>NS50130</t>
  </si>
  <si>
    <t>Rough Labor - Flue Exhaust Combination Furnace and Water Heater</t>
  </si>
  <si>
    <t>NS50280</t>
  </si>
  <si>
    <t>Rough Labor - Flue Exhaust Pipe - Gas Furnace Only</t>
  </si>
  <si>
    <t>NS50270</t>
  </si>
  <si>
    <t>Rough Labor - Flue Exhaust Pipe - Water Heater Only</t>
  </si>
  <si>
    <t>NS50260</t>
  </si>
  <si>
    <t>Rough Labor - Humidifier - Bypass</t>
  </si>
  <si>
    <t>NS50320</t>
  </si>
  <si>
    <t>Rough Labor - Humidifier - Power</t>
  </si>
  <si>
    <t>NS50330</t>
  </si>
  <si>
    <t>Rough Labor - Kitchen Range Vent - 6" Through Wall</t>
  </si>
  <si>
    <t>NS50210</t>
  </si>
  <si>
    <t>Rough Labor - Kitchen Range Vent - Interior 6" Vented to Wall</t>
  </si>
  <si>
    <t>NS50220</t>
  </si>
  <si>
    <t>Rough Labor - Kitchen Range Vent - Interior 7"-8" Vented to Wall</t>
  </si>
  <si>
    <t>NS50230</t>
  </si>
  <si>
    <t>Rough Labor - Kitchen Range Vent -Interior 10" Vented to Wall</t>
  </si>
  <si>
    <t>NS50240</t>
  </si>
  <si>
    <t>Rough Labor - Laundry Room Transfer Grill</t>
  </si>
  <si>
    <t>NS50160</t>
  </si>
  <si>
    <t>Rough Labor - Make Up Air - Kitchen  Range Vent</t>
  </si>
  <si>
    <t>NS50250</t>
  </si>
  <si>
    <t>Rough Labor - Media Filter Cabinet</t>
  </si>
  <si>
    <t>NS50310</t>
  </si>
  <si>
    <t>Rough Labor - Mini Split - Set Indoor and Outdoor</t>
  </si>
  <si>
    <t>NS50011</t>
  </si>
  <si>
    <t>Rough Labor - Pressure Test on Copper</t>
  </si>
  <si>
    <t>NS50190</t>
  </si>
  <si>
    <t>Rough Labor - Return Box/Framing</t>
  </si>
  <si>
    <t>NS50060</t>
  </si>
  <si>
    <t>Rough Labor - Return Drop</t>
  </si>
  <si>
    <t>NS50050</t>
  </si>
  <si>
    <t>Rough Labor - Return Jumper Duct</t>
  </si>
  <si>
    <t>NS50070</t>
  </si>
  <si>
    <t>Rough Labor - Set Air Handler - Attic</t>
  </si>
  <si>
    <t>NS50020</t>
  </si>
  <si>
    <t>Rough Labor - Set Air Handler - Mech Room</t>
  </si>
  <si>
    <t>NS50030</t>
  </si>
  <si>
    <t>Rough Labor - Supply Distribution Box</t>
  </si>
  <si>
    <t>NS50090</t>
  </si>
  <si>
    <t>Rough Labor - Supply Drop</t>
  </si>
  <si>
    <t>NS50040</t>
  </si>
  <si>
    <t>Rough Labor - Supply Plenum Horizontal Duct (4' only)</t>
  </si>
  <si>
    <t>NS50120</t>
  </si>
  <si>
    <t>Rough Labor - Thermostat Wire - AHU to wall mount location</t>
  </si>
  <si>
    <t>NS50200</t>
  </si>
  <si>
    <t>Rough Labor - Third Floor Adder</t>
  </si>
  <si>
    <t>NS50300</t>
  </si>
  <si>
    <t>Rough Labor - Tonnage ODU</t>
  </si>
  <si>
    <t>NS50010</t>
  </si>
  <si>
    <t>Rough Labor - Wye</t>
  </si>
  <si>
    <t>NS50080</t>
  </si>
  <si>
    <t>Rough Labor - Zone Damper</t>
  </si>
  <si>
    <t>NS50100</t>
  </si>
  <si>
    <t>Rough Material</t>
  </si>
  <si>
    <t>1 PVC S40 SXSXS TEE</t>
  </si>
  <si>
    <t>1 WROT CXC LT 90 ELL 1-1/8 OD</t>
  </si>
  <si>
    <t>1/2 COP CLAD 2H STRP</t>
  </si>
  <si>
    <t>1/2 SHORT FLR NUT</t>
  </si>
  <si>
    <t>1/2 WROT FTGXC ST 45 ELL 5/8 OD</t>
  </si>
  <si>
    <t>1/2" x 1-1/2" - 48"  DRYWALL FRAME</t>
  </si>
  <si>
    <t>1/8 OD EXT COP TUBE 6 PK</t>
  </si>
  <si>
    <t>10 AUTO RND DMPR W/ 24V MTR - HONEYWELL</t>
  </si>
  <si>
    <t>10 SADDLE COLLAR</t>
  </si>
  <si>
    <t>NS12025</t>
  </si>
  <si>
    <t>10 TRUEZONE BYP C/PRES REG DMPR</t>
  </si>
  <si>
    <t>Bag</t>
  </si>
  <si>
    <t>lin ft</t>
  </si>
  <si>
    <t>10X6 BOOT FRM 24</t>
  </si>
  <si>
    <t>11-1/4X18X24 DB PLENUM W CAP R8..</t>
  </si>
  <si>
    <t>11-1/4X18X24 DB SLEEVE - NO CAP R8</t>
  </si>
  <si>
    <t>11X17X24 DB PLENUM W CAP R8</t>
  </si>
  <si>
    <t>11X17X24 DB SLEEVE - NO CAP R8</t>
  </si>
  <si>
    <t>11X17X48 DB PLENUM W CAP R8</t>
  </si>
  <si>
    <t>12 AUTO RND DMPR W/ 24V MTR - HONEYWELL</t>
  </si>
  <si>
    <t>12 SADDLE COLLAR</t>
  </si>
  <si>
    <t>NS12030</t>
  </si>
  <si>
    <t>12 TRUEZONE BYP C/PRES REG DMPR</t>
  </si>
  <si>
    <t>12-1/2 X 12-1/2 X 12 METAL BOX (UNINSUL)</t>
  </si>
  <si>
    <t>12-1/2 X 12-1/2 X 12 RTN AIR BOX R8</t>
  </si>
  <si>
    <t>12X10X10 26GA WYE</t>
  </si>
  <si>
    <t>12X6 BOOT FRM 24</t>
  </si>
  <si>
    <t>14 AUTO RND DMPR W/ 24V MTR - HONEYWELL</t>
  </si>
  <si>
    <t>14-1/2 X 14-1/2 X 12 METAL BOX (UNINSUL)</t>
  </si>
  <si>
    <t>14-1/2 X 14-1/2 X 12 RTN AIR BOX R8</t>
  </si>
  <si>
    <t>14-1/2X18X24 DB SLEEVE - NO CAP R8</t>
  </si>
  <si>
    <t>14-3/4X17X24 DB PLENUM W CAP R8</t>
  </si>
  <si>
    <t>14-3/4X17X24 DB SLEEVE - NO CAP R8</t>
  </si>
  <si>
    <t>14-3/4X17X48 DB PLENUM W CAP R8</t>
  </si>
  <si>
    <t>14-3/4X22X18 PLATFORM BOX</t>
  </si>
  <si>
    <t>14X10 26GA TPRD RED</t>
  </si>
  <si>
    <t>14X6 8" OVAL STACK HEAD..</t>
  </si>
  <si>
    <t>16 AUTO RND DMPR W/ 24V MTR - HONEYWELL</t>
  </si>
  <si>
    <t>16" X 25' FIRE WRAP (DRYER)</t>
  </si>
  <si>
    <t>16-1/2 X 16-1/2 X 12 RTN AIR BOX R8</t>
  </si>
  <si>
    <t>NS10095</t>
  </si>
  <si>
    <t>16X12 RADIATION DAMPER</t>
  </si>
  <si>
    <t>16X16X12 METAL BOX (UNINSUL)</t>
  </si>
  <si>
    <t>17X17X24 DB PLENUM W CAP R8</t>
  </si>
  <si>
    <t>17X17X24 DB SLEEVE - NO CAP R8</t>
  </si>
  <si>
    <t>17X17X48 DB PLENUM W CAP R8</t>
  </si>
  <si>
    <t>18 DB COLL SNAP TAB</t>
  </si>
  <si>
    <t>18-3/4X22X18 PLATFORM BOX</t>
  </si>
  <si>
    <t>18X18X24 DB SLEEVE Ã¯Â¿Â½ NO CAP R8</t>
  </si>
  <si>
    <t>19-3/4X17X24 DB PLENUM W CAP R8</t>
  </si>
  <si>
    <t>19-3/4X17X24 DB SLEEVE Ã¯Â¿Â½ NO CAP R8</t>
  </si>
  <si>
    <t>19-3/4X17X48 DB PLENUM W CAP R8</t>
  </si>
  <si>
    <t>2 WOOD HDL CHIP BRSH</t>
  </si>
  <si>
    <t>20 DB COLL SNAP TAB</t>
  </si>
  <si>
    <t>20-1/2 X 14-1/2 X 12 RTN AIR BOX R8</t>
  </si>
  <si>
    <t>20-1/2 X 20-1/2 X 12 RTN AIR BOX R8</t>
  </si>
  <si>
    <t>21-1/4X22X18 PLATFORM BOX</t>
  </si>
  <si>
    <t>21X18X24 DB PLENUM W CAP R8</t>
  </si>
  <si>
    <t>21X18X24 DB SLEEVE NO CAP R8</t>
  </si>
  <si>
    <t>21X18X48 DB PLENUM W CAP R8</t>
  </si>
  <si>
    <t>21X21X24 DB PLENUM W CAP R8</t>
  </si>
  <si>
    <t>21X21X24 DB SLEEVE - NO CAP R8</t>
  </si>
  <si>
    <t>21X21X48 DB PLENUM W CAP R8</t>
  </si>
  <si>
    <t>21X21X48 DB SLEEVE - NO CAP R8</t>
  </si>
  <si>
    <t>24-1/2 X 12-1/2 X 12 METAL BOX (UNINSUL)</t>
  </si>
  <si>
    <t>24-1/2 X 12-1/2 X 12 RTN AIR BOX R8</t>
  </si>
  <si>
    <t>25-1/2 X 14-1/2 X 12 RTN AIR BOX R8</t>
  </si>
  <si>
    <t>25-1/2 X 16-1/2 X 12 RTN AIR BOX R8</t>
  </si>
  <si>
    <t>25-1/2 X 20-1/2 X 12 RTN AIR BOX R8</t>
  </si>
  <si>
    <t>25X24X22 PLATFORM BOX</t>
  </si>
  <si>
    <t>3 PVC S40 SXS 45 ELL</t>
  </si>
  <si>
    <t>3 WHIT ALUM UDR EAVE VENT</t>
  </si>
  <si>
    <t>NS30000</t>
  </si>
  <si>
    <t>3/4 ID X 1/2 PIPE INSUL</t>
  </si>
  <si>
    <t>3/4 PVC CNDST J TRAP</t>
  </si>
  <si>
    <t>3/4 x 1 PVC REDUCER BUSHING Spig X SOC</t>
  </si>
  <si>
    <t>3-1/2 DP DRYER BX F/ 2X4 WALL</t>
  </si>
  <si>
    <t>3-1/4X10 DUCT END CAP</t>
  </si>
  <si>
    <t>4 BROW HOOD W/ STD TLPC ASSY</t>
  </si>
  <si>
    <t>4 DALE VENT</t>
  </si>
  <si>
    <t>4 PLAS DRYER V/HOOD W/TLPC WHIT ASS</t>
  </si>
  <si>
    <t>4 SADDLE COLLAR</t>
  </si>
  <si>
    <t>NS12000</t>
  </si>
  <si>
    <t>4 WHIT ALUM UDR EAVE VENT</t>
  </si>
  <si>
    <t>4X10X6 FIRE RATED 90 BOOT</t>
  </si>
  <si>
    <t>4X12 ADJ GAS B VENT PIPE</t>
  </si>
  <si>
    <t>4X3 26GA TPRD RED NO CRMP</t>
  </si>
  <si>
    <t>5/8 ID X 1/2 PIPE INSUL</t>
  </si>
  <si>
    <t>5X18 16 GA 16 H NAIL PLT</t>
  </si>
  <si>
    <t>5X4 26GA TPRD RED</t>
  </si>
  <si>
    <t>6 AUTO RND DMPR W/ 24V MTR - HONEYWELL</t>
  </si>
  <si>
    <t>6 BLAC PLAS ROOF CAP W/ DMPR</t>
  </si>
  <si>
    <t>6 RND BFLY DMPR (BACKDRAFT)</t>
  </si>
  <si>
    <t>6 SADDLE COLLAR</t>
  </si>
  <si>
    <t>NS12005</t>
  </si>
  <si>
    <t>6X10X6 FIRE RATED 90 BOOT</t>
  </si>
  <si>
    <t>6X12X7 FIRE RATED 90 BOOT</t>
  </si>
  <si>
    <t>6X14X8 FIRE RATED 90 BOOT</t>
  </si>
  <si>
    <t>7/8 ID X 1/2 PIPE INSUL TUBE</t>
  </si>
  <si>
    <t>8 AUTO RND DMPR W/ 24V MTR -HONEYWELL</t>
  </si>
  <si>
    <t>8 GALV WALL VENT W SCRN &amp; DMPR</t>
  </si>
  <si>
    <t>8X25 BLK VINYL FLEX AIR DUCT R4.2</t>
  </si>
  <si>
    <t>8X8X4 26GA WYE</t>
  </si>
  <si>
    <t>NS12100</t>
  </si>
  <si>
    <t>A000HFnf FAN HOUSING ENERGY STAR</t>
  </si>
  <si>
    <t>APRIL AIRE 8100 ERV (ENERGY RECOVERY VENTILATOR)</t>
  </si>
  <si>
    <t>APRILAIRE DEHUMIDIFIER E100</t>
  </si>
  <si>
    <t>BROAN 1667H FAN HOUSING - FAN ONLY</t>
  </si>
  <si>
    <t>BROAN 80RDH FAN HOUSING w RADIATION DAMPER</t>
  </si>
  <si>
    <t>BROAN 80RDH FAN TRIM (RADIATION DAMPER)</t>
  </si>
  <si>
    <t>BROAN FLEX 80 CFM FAN 0.8 SONES WITH LED CLEANCOVER ENERGY STAR</t>
  </si>
  <si>
    <t>DUCT SEAL GRAY DP1010 - TUBE..</t>
  </si>
  <si>
    <t>HONEYWELL F100 16x25 MEDIA CABINET</t>
  </si>
  <si>
    <t>INSULATION WRAP 2 1/5X48X75</t>
  </si>
  <si>
    <t>NS23000</t>
  </si>
  <si>
    <t>MANUAL JIFFY DAMPER 4"</t>
  </si>
  <si>
    <t>MANUAL JIFFY DAMPER 6"</t>
  </si>
  <si>
    <t>MANUAL JIFFY DAMPER 7"</t>
  </si>
  <si>
    <t>MANUAL JIFFY DAMPER 9"</t>
  </si>
  <si>
    <t>Milwakee M18 Cordless Drill and Impact</t>
  </si>
  <si>
    <t>MILWAUKEE M18 2 Gallon Wet Vac</t>
  </si>
  <si>
    <t>PANASONIC FV-0810SS1 EXHAUST FAN</t>
  </si>
  <si>
    <t>Panasonic FV-1115VQ1 Exhaust Fan</t>
  </si>
  <si>
    <t>RCAP10 10" ROOF CAP WITH DAMPER</t>
  </si>
  <si>
    <t>ROOF CAP 6 - 8 RND OR 3-1/4X10 DUCT</t>
  </si>
  <si>
    <t>ROOF CAP 8 BLACK PLASTIC</t>
  </si>
  <si>
    <t>ZF 10IN BYPASS DAMPER (ZFSPAD10)</t>
  </si>
  <si>
    <t>ZF 10IN BYPASS DAMPER (ZFSPAD14)</t>
  </si>
  <si>
    <t>ZF 10IN DAMPER W MOTOR 14' CBL (ZFRDP10-14)</t>
  </si>
  <si>
    <t>ZF 12IN BYPASS DAMPER (ZFSPAD12)</t>
  </si>
  <si>
    <t>ZF 12IN DAMPER W MOTOR 14' CBL (ZFRDP12-14)</t>
  </si>
  <si>
    <t>ZF 14IN DAMPER W MOTOR 14' CBLÃ¯Â¿Â½ (ZFRDP14-14)</t>
  </si>
  <si>
    <t>ZF 16IN DAMPER W MOTOR 14' CBL (ZFRDP16-14)Ã¯Â¿Â½Ã¯Â¿Â½Ã¯Â¿Â½Ã¯Â¿Â½Ã¯Â¿Â½Ã¯Â¿Â½</t>
  </si>
  <si>
    <t>ZF 20x20 DAMPER (ZDSP2020)Ã¯Â¿Â½Ã¯Â¿Â½Ã¯Â¿Â½Ã¯Â¿Â½Ã¯Â¿Â½Ã¯Â¿Â½</t>
  </si>
  <si>
    <t>ZF 8IN BYPASS DAMPER (ZFSPAD8)</t>
  </si>
  <si>
    <t>1/2" x 6' Electric Whip Connection</t>
  </si>
  <si>
    <t>10 MFD 440/370V OVAL RUN USA CAP</t>
  </si>
  <si>
    <t>12.5 MFD 440/370V OVAL RUN USA CAP</t>
  </si>
  <si>
    <t>15 MFD 440/370V RND RUN USA CAP</t>
  </si>
  <si>
    <t>20 MFD 440/370V RND RUN USA CAP</t>
  </si>
  <si>
    <t>24V 2 POLE 30A CONTACTOR</t>
  </si>
  <si>
    <t>24V SPST TIME DELAY RLY</t>
  </si>
  <si>
    <t>3 AMP PLAS FUSE BAG OF 25</t>
  </si>
  <si>
    <t>3 MFD 440V OVAL RUN CAP JARD</t>
  </si>
  <si>
    <t>3/8 SWT BI-FLOW H/P DRIER</t>
  </si>
  <si>
    <t>331709-763 TXV KIT</t>
  </si>
  <si>
    <t>342796-75103 SLOPE COIL KIT</t>
  </si>
  <si>
    <t>343312-75101 CONDENSATE PAN (Replacement for Vertical pan FJ4DNXB36)</t>
  </si>
  <si>
    <t>343313-75103 CONDENSATE PAN KIT</t>
  </si>
  <si>
    <t>4 MFD 440V OVAL RUN CAP JARD</t>
  </si>
  <si>
    <t>40VA 120/208/240V TO 24V FT TRANS</t>
  </si>
  <si>
    <t>4301-02 ACID SCAVENGER</t>
  </si>
  <si>
    <t>5 MFD 440/370V OVAL RUN USA CAP</t>
  </si>
  <si>
    <t>60 AMP NON FUSED DISC</t>
  </si>
  <si>
    <t>70/10 MFD 440/370V RND RUN USA CAP</t>
  </si>
  <si>
    <t>ABG038KAB COMPRESSOR</t>
  </si>
  <si>
    <t>AGAGC8NPS01B GAS CONVERSTION KIT</t>
  </si>
  <si>
    <t>AGAGC9NPS01C GAS CONVERSION KIT</t>
  </si>
  <si>
    <t>APG031KAB COMPRESSOR</t>
  </si>
  <si>
    <t>COIL CLEANER (CONDENSER/OUTDOOR)</t>
  </si>
  <si>
    <t>COIL CLEANER (INDOOR)</t>
  </si>
  <si>
    <t>CORE / VAC / CHARGE TOOL</t>
  </si>
  <si>
    <t>Factory Authorized Part - KA56GR140 Grommet</t>
  </si>
  <si>
    <t>FACTORY AUTHORIZED PARTS 337668-701 LOOSE PARTS BAG</t>
  </si>
  <si>
    <t>FACTORY AUTHORIZED PARTS 348876-701 HARNESS ASSEMBLY</t>
  </si>
  <si>
    <t>HD42AQ252 MOTOR ECM 1/3HP</t>
  </si>
  <si>
    <t>HD44AQ269 MOTOR ECM 1/2HP</t>
  </si>
  <si>
    <t>HH12ZZ205 HIGH LIMIT SWITCH</t>
  </si>
  <si>
    <t>HK06MB020 PRESSURE SWITCH</t>
  </si>
  <si>
    <t>HT01CN241 TRANSFORMER</t>
  </si>
  <si>
    <t>KGAAD0110PVC CPVC to PVC DRAIN ADAPTER</t>
  </si>
  <si>
    <t>KGAET0201ETK EXTERNAL TRAP KIT</t>
  </si>
  <si>
    <t>KH43LZ074 FILTER DRIER</t>
  </si>
  <si>
    <t>KNOB 341066-401</t>
  </si>
  <si>
    <t>KNOB BACK: 341065-401</t>
  </si>
  <si>
    <t>LENNOX 619559-01 DEFROST CONTROL BOARD KIT</t>
  </si>
  <si>
    <t>LENNOX THERM-O-DISC DEFROST 100503-06</t>
  </si>
  <si>
    <t>P257-FLEX1373 BLOWER MOTOR</t>
  </si>
  <si>
    <t>TERMINAL SPADE CONNECTOR KIT</t>
  </si>
  <si>
    <t>VAC PUMP OIL QT</t>
  </si>
  <si>
    <t>ZOOM SPT OILER</t>
  </si>
  <si>
    <t>ZP25K6E-PFV-830 COMPRESSOR</t>
  </si>
  <si>
    <t>ZP25K7E-PFV-830 COMPRESSOR</t>
  </si>
  <si>
    <t>ZP32K6E-PFV-830 COMPRESSOR</t>
  </si>
  <si>
    <t>*0219 LF 1# 6% SILV BRAZ ROD</t>
  </si>
  <si>
    <t>1" METAL TAG - GAS METER 25 pk</t>
  </si>
  <si>
    <t>10X1-1/4 PLAS ANCR KIT 100PCS</t>
  </si>
  <si>
    <t>16P NAILS</t>
  </si>
  <si>
    <t>2 WOOD SAMMY 3/8 VERT GST 20</t>
  </si>
  <si>
    <t>3 AMP 120V 60HZ VAR SPEED CNTL</t>
  </si>
  <si>
    <t>3 AMP AUTO BLD FUSE</t>
  </si>
  <si>
    <t>3/16X5/8X25 440 BUTYL GSKT TAPE</t>
  </si>
  <si>
    <t>32 OZ GEL HEAT DISSIPATING SPRY</t>
  </si>
  <si>
    <t>5 AMP AUTO BLD FUSE</t>
  </si>
  <si>
    <t>72B WIRE NUT BLUE 100PK</t>
  </si>
  <si>
    <t>73B WIRE NUT ORAN 100PK</t>
  </si>
  <si>
    <t>74B WIRE NUT YELL 100PK</t>
  </si>
  <si>
    <t>8 OZ PVC HD CLR CMNT</t>
  </si>
  <si>
    <t>8P NAILS</t>
  </si>
  <si>
    <t>8X2 ZIP SCRW WHT 250 H/HD 1/4</t>
  </si>
  <si>
    <t>ACETYLENE TANK -  REFILL ONLY</t>
  </si>
  <si>
    <t>PAN SPRY CNDST PAN SEALER AERO BLAC</t>
  </si>
  <si>
    <t>REGISTER TEXTURE WHITE SPRAY PAINT</t>
  </si>
  <si>
    <t>ROOFING NAILS</t>
  </si>
  <si>
    <t>SILVER FSK DUCT TAPE</t>
  </si>
  <si>
    <t>NS40100</t>
  </si>
  <si>
    <t>SUPERSEAL FLEX INJ SEAL</t>
  </si>
  <si>
    <t>TRU BLUE PIPE COMPOUND 1/2 PINT</t>
  </si>
  <si>
    <t>WHITE SPRAY PAINT..</t>
  </si>
  <si>
    <t>Trim Equipment</t>
  </si>
  <si>
    <t>4TTR4018N1 1.5 TON AIR CONDITIONER-TRANE..</t>
  </si>
  <si>
    <t>4TTR4024N1 2 TON AIR CONDITIONER-TRANE</t>
  </si>
  <si>
    <t>4TTR4030N1 2.5 TON AIR CONDITIONER-TRANE</t>
  </si>
  <si>
    <t>4TTR4036N1 3 TON AIR CONDITIONER-TRANE</t>
  </si>
  <si>
    <t>4TTR4042N1 3.5 TON AIR CONDITIONER-TRANE</t>
  </si>
  <si>
    <t>4TTR4048N1 4 TON AIR CONDITIONER-TRANE</t>
  </si>
  <si>
    <t>4TTR4060N1 5 TON AIR CONDITIONER-TRANE</t>
  </si>
  <si>
    <t>4TWR4018N1 1.5 TON HEAT PUMP-TRANE</t>
  </si>
  <si>
    <t>4TWR4024N1 2 TON HEAT PUMP-TRANE</t>
  </si>
  <si>
    <t>4TWR4030N1 2.5 TON HEAT PUMP-TRANE</t>
  </si>
  <si>
    <t>4TWR4036N1 3 TON HEAT PUMP-TRANE</t>
  </si>
  <si>
    <t>4TWR4042N1 3.5 TON HEAT PUMP-TRANE</t>
  </si>
  <si>
    <t>4TWR4048N1 4 TON HEAT PUMP-TRANE</t>
  </si>
  <si>
    <t>4TWR4060N1 5 TON HEAT PUMP-TRANE</t>
  </si>
  <si>
    <t>A4AC5018D1000A 1.5 TON AIR CONDITIONER-RT..</t>
  </si>
  <si>
    <t>A4AC5024D1000A 2 TON AIR CONDITIONER-RT</t>
  </si>
  <si>
    <t>A4AC5030D1000A 2.5 TON AIR CONDITIONER-RT</t>
  </si>
  <si>
    <t>A4AC5036D1000A 3 TON AIR CONDITIONER-RT</t>
  </si>
  <si>
    <t>A4AC5042D1000A 3.5 TON AIR CONDITIONER-RT</t>
  </si>
  <si>
    <t>A4AC5048D1000A 4 TON AIR CONDITIONER-RT</t>
  </si>
  <si>
    <t>A4AC5060D1000A 5 TON AIR CONDITIONER-RT</t>
  </si>
  <si>
    <t>A4HP5018D1000A 1.5 TON HEAT PUMP-RT</t>
  </si>
  <si>
    <t>A4HP5024D1000A  2 TON HEAT PUMP-RT</t>
  </si>
  <si>
    <t>A4HP5030D1000A  2.5 TON HEAT PUMP-RT</t>
  </si>
  <si>
    <t>A4HP5036D1000A  3 TON HEAT PUMP-RT</t>
  </si>
  <si>
    <t>A4HP5042D1000A  3.5 TON HEAT PUMP-RT</t>
  </si>
  <si>
    <t>A4HP5048D1000A 4 TON HEAT PUMP-RT</t>
  </si>
  <si>
    <t>A4HP5060D1000A 5 TON HEAT PUMP-RT</t>
  </si>
  <si>
    <t>GA5SAN41800W 1.5 TON AIR CONDITIONER</t>
  </si>
  <si>
    <t>GA5SAN42400W 2 TON AIR CONDITIONER</t>
  </si>
  <si>
    <t>GA5SAN43000W 2.5 TON AIR CONDITIONER</t>
  </si>
  <si>
    <t>GA5SAN43600W 3 TON AIR CONDITIONER</t>
  </si>
  <si>
    <t>GA5SAN44200W 3.5 TON AIR CONDITIONER</t>
  </si>
  <si>
    <t>GA5SAN44800W 4 TON AIR CONDITIONER</t>
  </si>
  <si>
    <t>GA5SAN46000W 5 TON AIR CONDITIONER</t>
  </si>
  <si>
    <t>GH5SAN41800A 1.5 TON HEAT PUMP</t>
  </si>
  <si>
    <t>GH5SAN42400A 2 TON HEAT PUMP</t>
  </si>
  <si>
    <t>GH5SAN43000A 2.5 TON HEAT PUMP</t>
  </si>
  <si>
    <t>GH5SAN43600A 3 TON HEAT PUMP</t>
  </si>
  <si>
    <t>GH5SAN44200A 3.5 TON HEAT PUMP</t>
  </si>
  <si>
    <t>GH5SAN44800A 4 TON HEAT PUMP</t>
  </si>
  <si>
    <t>GH5SAN46000A 5 TON HEAT PUMP</t>
  </si>
  <si>
    <t>ML17XC1-018-230 Condenser/1.5 Ton/230</t>
  </si>
  <si>
    <t>ML17XC1-024-230 Condenser/2 Ton/230</t>
  </si>
  <si>
    <t>ML17XC1-030-230 Condenser/2.5 Ton/230</t>
  </si>
  <si>
    <t>ML17XC1-036-230 Condenser/3 Ton/230</t>
  </si>
  <si>
    <t>ML17XC1-042-230 Condenser/3.5 Ton/230</t>
  </si>
  <si>
    <t>ML17XC1-048-230 Condenser/4 Ton/230</t>
  </si>
  <si>
    <t>ML17XC1-060-230 Condenser/5 Ton/230</t>
  </si>
  <si>
    <t>ML17XP1-018-230 HEATPUMP/1.5TON/230V</t>
  </si>
  <si>
    <t>ML17XP1-024-230 HEATPUMP/2.0TON/230V</t>
  </si>
  <si>
    <t>ML17XP1-030-230 HEATPUMP/2.5TON/230V</t>
  </si>
  <si>
    <t>ML17XP1-036-230 HEATPUMP/3.0TON/230V</t>
  </si>
  <si>
    <t>ML17XP1-042-230 HEATPUMP/3.5TON/230V</t>
  </si>
  <si>
    <t>ML17XP1-048-230 HEATPUMP/4.0TON/230V</t>
  </si>
  <si>
    <t>ML17XP1-060-230 HEATPUMP/5.0TON/230V</t>
  </si>
  <si>
    <t>Trim Incentive Labor</t>
  </si>
  <si>
    <t>NS50880</t>
  </si>
  <si>
    <t>Planned Trip Charge</t>
  </si>
  <si>
    <t>Trim Labor</t>
  </si>
  <si>
    <t>NS50351</t>
  </si>
  <si>
    <t>Trim Labor - Barometric Bypass Damper Set Up</t>
  </si>
  <si>
    <t>NS50420</t>
  </si>
  <si>
    <t>Trim Labor - Braze Lineset in Attic Space</t>
  </si>
  <si>
    <t>NS50580</t>
  </si>
  <si>
    <t>Trim Labor - Copper Connections Inside</t>
  </si>
  <si>
    <t>NS50470</t>
  </si>
  <si>
    <t>Trim Labor - Copper Connections Outside</t>
  </si>
  <si>
    <t>NS50460</t>
  </si>
  <si>
    <t>Trim Labor - Drive Time beyond 1 hour</t>
  </si>
  <si>
    <t>NS50650</t>
  </si>
  <si>
    <t>Trim Labor - Dryer Vent - Wall Cap Verification</t>
  </si>
  <si>
    <t>NS50450</t>
  </si>
  <si>
    <t>Trim Labor - Exhaust Fan Motors and Covers Install</t>
  </si>
  <si>
    <t>NS50430</t>
  </si>
  <si>
    <t>Trim Labor - Exhaust Wall/Soffit Cap Verification</t>
  </si>
  <si>
    <t>NS50440</t>
  </si>
  <si>
    <t>Trim Labor - Extend Lineset</t>
  </si>
  <si>
    <t>NS50570</t>
  </si>
  <si>
    <t>Trim Labor - Find Leak or kinked Lineset - Braze and pressure</t>
  </si>
  <si>
    <t>NS50600</t>
  </si>
  <si>
    <t>Trim Labor - Flue Exhaust Pipe - Gas Furnace Only</t>
  </si>
  <si>
    <t>NS50540</t>
  </si>
  <si>
    <t>Trim Labor - Flue Exhaust Pipe - Water Heater Only</t>
  </si>
  <si>
    <t>NS50530</t>
  </si>
  <si>
    <t>Trim Labor - Humidifier Install</t>
  </si>
  <si>
    <t>NS50550</t>
  </si>
  <si>
    <t>Trim Labor - Install Outdoor Unit Only (includes Trip Charge)</t>
  </si>
  <si>
    <t>NS50640</t>
  </si>
  <si>
    <t>Trim Labor - Kitchen Range Hood Installation 8-10"</t>
  </si>
  <si>
    <t>NS50510</t>
  </si>
  <si>
    <t>Trim Labor - Kitchen Range Vent Installation - Microvave</t>
  </si>
  <si>
    <t>NS50500</t>
  </si>
  <si>
    <t>Trim Labor - Laundry Room Transfer Grills</t>
  </si>
  <si>
    <t>NS50400</t>
  </si>
  <si>
    <t>Trim Labor - Level Outdoor unit beyond normal circumstances</t>
  </si>
  <si>
    <t>NS50610</t>
  </si>
  <si>
    <t>Trim Labor - Make Up Air - Kitchen  Range Vent</t>
  </si>
  <si>
    <t>NS50520</t>
  </si>
  <si>
    <t>Trim Labor - Reinstall Condensate Drain</t>
  </si>
  <si>
    <t>NS50560</t>
  </si>
  <si>
    <t>Trim Labor - Relocate Exhaust Fan reconnect Duct</t>
  </si>
  <si>
    <t>NS50620</t>
  </si>
  <si>
    <t>Trim Labor - Return Grill</t>
  </si>
  <si>
    <t>NS50390</t>
  </si>
  <si>
    <t>Trim Labor - Set Outdoor Unit</t>
  </si>
  <si>
    <t>NS50360</t>
  </si>
  <si>
    <t>Trim Labor - Supply Register</t>
  </si>
  <si>
    <t>NS50380</t>
  </si>
  <si>
    <t>Trim Labor - Thermostat Wiring and Mounting</t>
  </si>
  <si>
    <t>NS50490</t>
  </si>
  <si>
    <t>Trim Labor - Tonnage ODU</t>
  </si>
  <si>
    <t>NS50350</t>
  </si>
  <si>
    <t>Trim Labor - Uncover Return, Supply, or Laundry Grill</t>
  </si>
  <si>
    <t>NS50590</t>
  </si>
  <si>
    <t>Trim Labor - Uncover Thermostat Wire</t>
  </si>
  <si>
    <t>NS50630</t>
  </si>
  <si>
    <t>Trim Labor - Vacuum Lineset</t>
  </si>
  <si>
    <t>NS50480</t>
  </si>
  <si>
    <t>Trim Labor - Wire Air Handler - Low Voltage Wiring</t>
  </si>
  <si>
    <t>NS50370</t>
  </si>
  <si>
    <t>Trim Labor - Zone Damper Wire Connections</t>
  </si>
  <si>
    <t>NS50410</t>
  </si>
  <si>
    <t>Trim Material</t>
  </si>
  <si>
    <t>1/2 LIQUIDTITE (LIN FT)</t>
  </si>
  <si>
    <t>1/2 LIQUIDTITE STRT CONN..</t>
  </si>
  <si>
    <t>10X6 2W 2 WAY S/C REG WHIT</t>
  </si>
  <si>
    <t>12X4 2W 2 WAY S/C REG WHIT</t>
  </si>
  <si>
    <t>12X6 2W 2 WAY S/C REG WHIT</t>
  </si>
  <si>
    <t>12X6 RG RTN AIR GRL 1/2 FIN WHIT</t>
  </si>
  <si>
    <t>14X10 RG RTN AIR GRL 1/2 FIN WHIT</t>
  </si>
  <si>
    <t>14X20X1 F/GLS PNL FLTR</t>
  </si>
  <si>
    <t>14X25X1 F/GLS PNL FLTR</t>
  </si>
  <si>
    <t>14X4 2W 2 WAY S/C REG WHIT</t>
  </si>
  <si>
    <t>14X6 2W 2 WAY S/C REG WHIT</t>
  </si>
  <si>
    <t>14X6 RG RTN AIR GRL 1/2 FIN WHIT</t>
  </si>
  <si>
    <t>16X20X1 F/GLS PNL FLTR</t>
  </si>
  <si>
    <t>16X25X1 F/GLS AIR FILTER</t>
  </si>
  <si>
    <t>20 FT LIFT CNDST PUMP W/ SWCH 115V</t>
  </si>
  <si>
    <t>3/8X3/4 BARBED X MALE PLASTIC ADAPTER</t>
  </si>
  <si>
    <t>4X12 FLOOR REGISTER BROWN</t>
  </si>
  <si>
    <t>6x14 Brown Floor Register</t>
  </si>
  <si>
    <t>AQUAGUARD AG1100+ PAN FLOAT SWITCH</t>
  </si>
  <si>
    <t>BD-BLUE 230 COND PUMP</t>
  </si>
  <si>
    <t>BROAN 744 CAN FAN LIGHT 70 CFM (TRIM)</t>
  </si>
  <si>
    <t>CCY 80CFM MTR W METAL GRILLE</t>
  </si>
  <si>
    <t>GOODMAN GOT1860A OUTDOOR SENSOR</t>
  </si>
  <si>
    <t>MARKEL OUTDOOR TSTAT SPDT..</t>
  </si>
  <si>
    <t>MF RG 14X8 WHT MFRG148W</t>
  </si>
  <si>
    <t>PRO FLUSH 16OQ PF-16..</t>
  </si>
  <si>
    <t>RED LINK ROOM SENSOR C7189R2002-2</t>
  </si>
  <si>
    <t>SPEEDY CHANNEL LINESET GUTTER</t>
  </si>
  <si>
    <t>SS2 SEC LINE O/FLOW SAFE-T-SWC</t>
  </si>
  <si>
    <t>T10 PRO RED LINK THX321WFS2001W</t>
  </si>
  <si>
    <t>T10 PRO WIFI THX321WF2003W (3H/2C)</t>
  </si>
  <si>
    <t>T4 PRO TH4210U2002 (2H/1C)</t>
  </si>
  <si>
    <t>T6 PRO TH622OU200 (2H/2C)</t>
  </si>
  <si>
    <t>T6 PRO WIFI TH6320WF2003 (3H/2C)</t>
  </si>
  <si>
    <t>THERMO-TRAP SPRAY 32 OZ  Heat Dissapating..</t>
  </si>
  <si>
    <t>Warranty Labor</t>
  </si>
  <si>
    <t>NS50860</t>
  </si>
  <si>
    <t>6 DB COLLAR W/DMPR</t>
  </si>
  <si>
    <t>4 DB COLLAR W/DMPR</t>
  </si>
  <si>
    <t>20X25 BLAC VINYL FLEX AIR DUCT R4.2</t>
  </si>
  <si>
    <t>16-1/2 X 25-1/2 X 12 RTN AIR BOX R8</t>
  </si>
  <si>
    <t>16-1/2 X 25-1/2 X 123 RTN AIR BOX R8</t>
  </si>
  <si>
    <t>7 SADDLE COLLAR</t>
  </si>
  <si>
    <t>8 SADDLE COLLAR</t>
  </si>
  <si>
    <t>3 WHT ALUM UDR EAVE VENT</t>
  </si>
  <si>
    <t>25-1/2 X 12-1/2 X 12 METAL BOX (UNINSUL)</t>
  </si>
  <si>
    <t>1/4X5/8X1/2X50FT 16/2 14/3 WIRE</t>
  </si>
  <si>
    <t>A4AH6E19A1B30A 1.5 TON AIR HANDLER-RT</t>
  </si>
  <si>
    <t>A4AH4E30A1B30A 2/2.5 TON AIR HANDLER-RT</t>
  </si>
  <si>
    <t>Carrier Equipment</t>
  </si>
  <si>
    <t>Run Tru Equipment</t>
  </si>
  <si>
    <t>Trane Equipment</t>
  </si>
  <si>
    <t>Lennox Equipment</t>
  </si>
  <si>
    <t>Mini Split</t>
  </si>
  <si>
    <t>Plenums and Boxes</t>
  </si>
  <si>
    <t>Drain Pans</t>
  </si>
  <si>
    <t>Fab Items</t>
  </si>
  <si>
    <t>4X12 ADJ GAS BVENT PIPE</t>
  </si>
  <si>
    <t>10X4 2W 2 WAY REG WHITE</t>
  </si>
  <si>
    <t>Quickflash</t>
  </si>
  <si>
    <t>Fire Dampers</t>
  </si>
  <si>
    <t>Supplies-Inventoried</t>
  </si>
  <si>
    <t>Supplies-Non-inventoried</t>
  </si>
  <si>
    <t>PVC TUBING CUTTERS</t>
  </si>
  <si>
    <t>1/2 COPPER CLAD 2H STRP</t>
  </si>
  <si>
    <t>1/2 SS HOSE CLW 3/8 - 7/8</t>
  </si>
  <si>
    <t>19-3/4X17X24 DB SLEEVE NO CAP R8</t>
  </si>
  <si>
    <t>3/8 x 1/2 Barb x MIP - 701-012D</t>
  </si>
  <si>
    <t>1/2 x 3/4 Barb x MIP -  701-002D</t>
  </si>
  <si>
    <t>2 PVC S40 SXS 90 ELL</t>
  </si>
  <si>
    <t>3/8X7/8X1/2X30 COP PE LINESET</t>
  </si>
  <si>
    <t>3/8 ID X 1/2 X 72 PIPE INSUL</t>
  </si>
  <si>
    <t>5/8 IDX 1/2 X 72 PIPE INSUL</t>
  </si>
  <si>
    <t>3/4 IDX 1/2 X 72 PIPE INSUL</t>
  </si>
  <si>
    <t>7/8 ID X 1/2 X 72 PIPE INSUL</t>
  </si>
  <si>
    <t>1-1/8 ID X 1/2 X 72 PIPE INSUL</t>
  </si>
  <si>
    <t>2X14 TOE KICK REGISTER WHIT</t>
  </si>
  <si>
    <t>1-1/2 X 100 FT COIL 30 GA GALV HGR STRP</t>
  </si>
  <si>
    <t>3/4X8 BLK STL NIP</t>
  </si>
  <si>
    <t>3/4X24 BLK STL NIP</t>
  </si>
  <si>
    <t>CONDENSATE PUMP  PRO CP 225</t>
  </si>
  <si>
    <t xml:space="preserve">3/8 x 3/4 Barb x MIP </t>
  </si>
  <si>
    <t>IX48X120 2" R8 DB 6 SHT</t>
  </si>
  <si>
    <t>3/4 PVC S40 SXS 90 ST ELL</t>
  </si>
  <si>
    <t>BROAN 1667EH FAN HOUSING - FAN ONLY</t>
  </si>
  <si>
    <t>BROAN 1688EF FAN TRIM</t>
  </si>
  <si>
    <t>BROAN BEH FAN LIGHT HOUSING</t>
  </si>
  <si>
    <t>BROAN BEL6F FAN LIGHT TRIM</t>
  </si>
  <si>
    <t>A000HFNF FAN HOUSING 80 CFM</t>
  </si>
  <si>
    <t>AE80BF1 CFM FAN FIN PK 80 CFM</t>
  </si>
  <si>
    <t>BROAN A110 CFM FAN</t>
  </si>
  <si>
    <t>BROAN A110 CFM FAN (FAN TRIM)</t>
  </si>
  <si>
    <t>PANASONIC FV-07VBA1 HOUSING 70 CFM</t>
  </si>
  <si>
    <t>PANASONIC FV-07VBB1 FAN TRIM 70 CFM</t>
  </si>
  <si>
    <t>PANASONIC FV-0510VSA1 HOUSING FAN ONLY 100 CFM</t>
  </si>
  <si>
    <t>PANASONIC FV-0510VSB1 FAN ONLY TRIM 100 CFM</t>
  </si>
  <si>
    <t>PANASONIC FV-0510VSL1 FAN LIGHT 100 CFM</t>
  </si>
  <si>
    <t>PANASONIC FV-0510VSL1 FAN LIGHT 100 CFM (TRIM)</t>
  </si>
  <si>
    <t>PANASONIC FV-08VRE2 CAN FAN LIGHT 80 CFM</t>
  </si>
  <si>
    <t>PANASONIC FV-08VRE2 CAN FAN LIGHT 80 CFM (TRIM)</t>
  </si>
  <si>
    <t>MANUAL GALV DAMPER 4"</t>
  </si>
  <si>
    <t>MANUAL GALV DAMPER 6"</t>
  </si>
  <si>
    <t>MANUAL GALV DAMPER 7"</t>
  </si>
  <si>
    <t>MANUAL GALV DAMPER 8"</t>
  </si>
  <si>
    <t>MANUAL GALV DAMPER  9"</t>
  </si>
  <si>
    <t>MANUAL GALV DAMPER 10"</t>
  </si>
  <si>
    <t>MANUAL GALV DAMPER 12"</t>
  </si>
  <si>
    <t>4 PLAS DRYER V/HOOD W TLPC WHITE ASSEMBLY</t>
  </si>
  <si>
    <t>TRUEZONE 2 ZONE PANEL KIT 2H1C  HZ221K - HP Only</t>
  </si>
  <si>
    <t>TRUEZONE 3 ZONE PANEL KIT 2H2C HZ322K - GAS or HP</t>
  </si>
  <si>
    <t>TRUEZONE 4 ZONE PANEL KIT 3H/2C HZ432K - Dual Fuel</t>
  </si>
  <si>
    <t>6 RND ZONE DAMPER - ARD6TZ HONEYWELL</t>
  </si>
  <si>
    <t>8 RND ZONE DAMPER - ARD8TZ HONEYWELL</t>
  </si>
  <si>
    <t>10 RND ZONE DAMPER - ARD10TZ HONEYWELL</t>
  </si>
  <si>
    <t>12 RND ZONE DAMPER - ARD12TZ HONEYWELL</t>
  </si>
  <si>
    <t>14 RND ZONE DAMPER - ARD14TZ HONEYWELL</t>
  </si>
  <si>
    <t>16 RND ZONE DAMPER - ARD16TZ HONEYWELL</t>
  </si>
  <si>
    <t>8 BYPASS DAMPER - CPRD8 HONEYWELL</t>
  </si>
  <si>
    <t>10 BYPASS DAMPER - CPRD10 HONEYWELL</t>
  </si>
  <si>
    <t>12 BYPASS DAMPER - CPRD12 HONEYWELL</t>
  </si>
  <si>
    <t>T4 TH42I0U2002 (2H11C)</t>
  </si>
  <si>
    <t>T6 TH6220U200 (2H/2C)</t>
  </si>
  <si>
    <t>TI0 PRO WIFI THX321 WF2003W (3H/2c)</t>
  </si>
  <si>
    <t>TI0 PRO RED LINK THX321 WFS2001W</t>
  </si>
  <si>
    <t>RED LINK ROOM SENSOR cn89R2002-2</t>
  </si>
  <si>
    <t>ZF 10 IN DAMPER W MOTOR 14' CBL (ZFRDPI0-14)</t>
  </si>
  <si>
    <t>ZF 20X20 DAMPER (ZDSP2020)</t>
  </si>
  <si>
    <t>ZF 10IN BYPASS DAMPER (ZFSPADI0)</t>
  </si>
  <si>
    <t>ZF 12 IN BYPASS DAMPER (ZFSPAD12)</t>
  </si>
  <si>
    <t>ZF 14 IN BYPASS DAMPER (ZFSPAD14)</t>
  </si>
  <si>
    <t>MARKEL OUTDOOR TSTAT SPDT</t>
  </si>
  <si>
    <t>10X10 RG RTN AIR GRL 1/2 FIN WHIT</t>
  </si>
  <si>
    <t>2X120 YD BLACK FLEX TAPE - DC 181</t>
  </si>
  <si>
    <t>3/8 ID X 50 CLR VINYL TUBE - 738</t>
  </si>
  <si>
    <t>440 BUTYL GASKET TAPE</t>
  </si>
  <si>
    <t>BLACK FLAT SPRAY PAINT</t>
  </si>
  <si>
    <t>WHITE SPRAY PAINT</t>
  </si>
  <si>
    <t>BROWN SPRAY PAINT</t>
  </si>
  <si>
    <t>Polymer Caulking Compound - 16 oz Block</t>
  </si>
  <si>
    <t>Milwaukee Jobsite Tech Bag</t>
  </si>
  <si>
    <t xml:space="preserve">Charlotte, NC </t>
  </si>
  <si>
    <t>ERV</t>
  </si>
  <si>
    <t>EERVR100A1P00B</t>
  </si>
  <si>
    <t>MUA Broan</t>
  </si>
  <si>
    <t>Tonnage</t>
  </si>
  <si>
    <t>Meter / House Set Up</t>
  </si>
  <si>
    <t>Per Gas Opening (Furnace, WH, FP, Range, Etc)</t>
  </si>
  <si>
    <t>Per Gas Opening - Tankless WH</t>
  </si>
  <si>
    <t>Fireplace - Indoor</t>
  </si>
  <si>
    <t>Fireplace - Outdoor</t>
  </si>
  <si>
    <t>Future Outdoor Opening</t>
  </si>
  <si>
    <t>Gas Furnace</t>
  </si>
  <si>
    <t>Outdoor Grill</t>
  </si>
  <si>
    <t>Outdoor Range</t>
  </si>
  <si>
    <t>Water Heater - Tankless</t>
  </si>
  <si>
    <t>Generator</t>
  </si>
  <si>
    <t>Gas Lantern</t>
  </si>
  <si>
    <t>Command Center 70 927 664 35 36</t>
  </si>
  <si>
    <t>Hall Up 285 909 825 34 45</t>
  </si>
  <si>
    <t>2nd Stair 160 4948 3553 187 193</t>
  </si>
  <si>
    <t>W/D Up 32 0 0 0 0</t>
  </si>
  <si>
    <t>Suite 3 Bath 98 1993 1187 75 64</t>
  </si>
  <si>
    <t>Suite 2 Bath 75 224 129 8 7</t>
  </si>
  <si>
    <t>Suite 2 WIC 40 120 69 5 4</t>
  </si>
  <si>
    <t>Suite 2 165 1854 1429 70 78</t>
  </si>
  <si>
    <t>Bonus Room 431 4092 3143 154 171</t>
  </si>
  <si>
    <t>Suite 3 WIC 33 97 56 4 3</t>
  </si>
  <si>
    <t>Suite 3 216 2855 1879 108 102</t>
  </si>
  <si>
    <t>Suite 4 WIC 34 101 58 4 3</t>
  </si>
  <si>
    <t>Suite 2/3 Bath 75 1163 719 44 39</t>
  </si>
  <si>
    <t>Suite 4 216 3356 2016 127 110</t>
  </si>
  <si>
    <t>Unfinished Storage</t>
  </si>
  <si>
    <t>Future Expansion</t>
  </si>
  <si>
    <t>Owner's Bath 209 3088 1567 144 95</t>
  </si>
  <si>
    <t>Owner's Suite 303 4551 4152 212 251</t>
  </si>
  <si>
    <t>Family Room 431 3168 1807 148 109</t>
  </si>
  <si>
    <t>Owner's WIC 212 3515 2359 164 143</t>
  </si>
  <si>
    <t>Foyer 122 1468 1258 68 76</t>
  </si>
  <si>
    <t>Study 206 2786 2160 130 131</t>
  </si>
  <si>
    <t>Study Bath 91 1319 729 61 44</t>
  </si>
  <si>
    <t>Kitchen 268 330 1170 15 71</t>
  </si>
  <si>
    <t>Scullery 104 118 44 5 3</t>
  </si>
  <si>
    <t>Casual Dining 200 4045 3473 188 210</t>
  </si>
  <si>
    <t>1st Stair 160 2036 1697 95 103</t>
  </si>
  <si>
    <t>Entry Hall 112 2847 1778 133 107</t>
  </si>
  <si>
    <t>Laundry 109 132 485 6 29</t>
  </si>
  <si>
    <t>1st Hall 160 0 0 0 0</t>
  </si>
  <si>
    <t>Billards</t>
  </si>
  <si>
    <t>Lounge</t>
  </si>
  <si>
    <t>5TXCB006AS3HCA</t>
  </si>
  <si>
    <t>METAL DIST TRIANGLE</t>
  </si>
  <si>
    <t>14-3/4X17X24 DB PLENUM W CAP R4</t>
  </si>
  <si>
    <t>14-3/4X17X48 DB PLENUM W CAP R4</t>
  </si>
  <si>
    <t>12x12x48 DB CAP MALE END R4</t>
  </si>
  <si>
    <t>12x12x48 DB CAP FEMALE END R4</t>
  </si>
  <si>
    <t>12x12x48 DB NO CAP R4</t>
  </si>
  <si>
    <t>Bird Dog Group</t>
  </si>
  <si>
    <t>Ebert</t>
  </si>
  <si>
    <t>2440 Beretania Circle</t>
  </si>
  <si>
    <t>Main 1st Fl</t>
  </si>
  <si>
    <t>Master</t>
  </si>
  <si>
    <t>2nd Floor</t>
  </si>
  <si>
    <t>ADU Bldg</t>
  </si>
  <si>
    <t>4 Ton</t>
  </si>
  <si>
    <t>2 Ton</t>
  </si>
  <si>
    <t>5TTR7048A1000A</t>
  </si>
  <si>
    <t>5TTR7024A1000A</t>
  </si>
  <si>
    <t xml:space="preserve"> EERVR200A1P00B</t>
  </si>
  <si>
    <t>S9X2C100U5PSBB</t>
  </si>
  <si>
    <t>S9X2B060U4PSBB</t>
  </si>
  <si>
    <t>5TXCC007AS3HCA</t>
  </si>
  <si>
    <t>EFD210DLFR000A</t>
  </si>
  <si>
    <t>EFD175DLFR000A</t>
  </si>
  <si>
    <t>Filter</t>
  </si>
  <si>
    <t>3.0% of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</si>
</sst>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</numFmts>
  <fonts count="2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8"/>
      <color rgb="FF000000"/>
      <name val="Times New Roman"/>
      <family val="1"/>
    </font>
    <font>
      <sz val="7"/>
      <color rgb="FF000000"/>
      <name val="Times New Roman"/>
      <family val="1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9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/>
    <xf numFmtId="0" fontId="0" fillId="0" borderId="5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0" borderId="8" xfId="0" applyBorder="1"/>
    <xf numFmtId="0" fontId="0" fillId="0" borderId="13" xfId="0" applyBorder="1"/>
    <xf numFmtId="44" fontId="0" fillId="0" borderId="1" xfId="1" applyFont="1" applyBorder="1"/>
    <xf numFmtId="10" fontId="0" fillId="0" borderId="1" xfId="2" applyNumberFormat="1" applyFont="1" applyBorder="1"/>
    <xf numFmtId="10" fontId="0" fillId="0" borderId="1" xfId="2" applyNumberFormat="1" applyFont="1" applyBorder="1" applyAlignment="1">
      <alignment horizontal="center"/>
    </xf>
    <xf numFmtId="0" fontId="0" fillId="0" borderId="14" xfId="0" applyBorder="1"/>
    <xf numFmtId="10" fontId="0" fillId="0" borderId="10" xfId="2" applyNumberFormat="1" applyFont="1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15" xfId="0" applyBorder="1"/>
    <xf numFmtId="0" fontId="0" fillId="0" borderId="23" xfId="0" applyBorder="1"/>
    <xf numFmtId="0" fontId="0" fillId="0" borderId="24" xfId="0" applyBorder="1"/>
    <xf numFmtId="10" fontId="0" fillId="0" borderId="22" xfId="2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right"/>
    </xf>
    <xf numFmtId="0" fontId="0" fillId="0" borderId="30" xfId="0" applyBorder="1"/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29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1" xfId="0" applyBorder="1"/>
    <xf numFmtId="0" fontId="0" fillId="0" borderId="38" xfId="0" applyBorder="1"/>
    <xf numFmtId="0" fontId="0" fillId="0" borderId="39" xfId="0" applyBorder="1"/>
    <xf numFmtId="10" fontId="0" fillId="0" borderId="0" xfId="2" applyNumberFormat="1" applyFont="1" applyBorder="1"/>
    <xf numFmtId="0" fontId="0" fillId="0" borderId="33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34" xfId="0" applyBorder="1"/>
    <xf numFmtId="0" fontId="0" fillId="0" borderId="43" xfId="0" applyBorder="1"/>
    <xf numFmtId="0" fontId="0" fillId="2" borderId="17" xfId="0" applyFill="1" applyBorder="1"/>
    <xf numFmtId="0" fontId="0" fillId="2" borderId="18" xfId="0" applyFill="1" applyBorder="1"/>
    <xf numFmtId="0" fontId="0" fillId="2" borderId="18" xfId="0" applyFill="1" applyBorder="1" applyAlignment="1">
      <alignment horizontal="right"/>
    </xf>
    <xf numFmtId="44" fontId="0" fillId="0" borderId="28" xfId="1" applyFont="1" applyBorder="1"/>
    <xf numFmtId="44" fontId="0" fillId="2" borderId="33" xfId="1" applyFont="1" applyFill="1" applyBorder="1"/>
    <xf numFmtId="44" fontId="0" fillId="2" borderId="40" xfId="1" applyFont="1" applyFill="1" applyBorder="1"/>
    <xf numFmtId="44" fontId="0" fillId="2" borderId="41" xfId="1" applyFont="1" applyFill="1" applyBorder="1"/>
    <xf numFmtId="44" fontId="0" fillId="2" borderId="16" xfId="1" applyFont="1" applyFill="1" applyBorder="1"/>
    <xf numFmtId="44" fontId="0" fillId="2" borderId="42" xfId="1" applyFont="1" applyFill="1" applyBorder="1"/>
    <xf numFmtId="44" fontId="0" fillId="2" borderId="34" xfId="1" applyFont="1" applyFill="1" applyBorder="1"/>
    <xf numFmtId="0" fontId="4" fillId="3" borderId="0" xfId="0" applyFont="1" applyFill="1"/>
    <xf numFmtId="0" fontId="4" fillId="3" borderId="1" xfId="0" applyFont="1" applyFill="1" applyBorder="1"/>
    <xf numFmtId="44" fontId="0" fillId="0" borderId="0" xfId="1" applyFont="1"/>
    <xf numFmtId="44" fontId="0" fillId="0" borderId="0" xfId="0" applyNumberFormat="1"/>
    <xf numFmtId="44" fontId="0" fillId="0" borderId="1" xfId="0" applyNumberFormat="1" applyBorder="1"/>
    <xf numFmtId="0" fontId="0" fillId="0" borderId="11" xfId="0" applyBorder="1" applyAlignment="1">
      <alignment horizontal="center"/>
    </xf>
    <xf numFmtId="0" fontId="0" fillId="2" borderId="2" xfId="0" applyFill="1" applyBorder="1"/>
    <xf numFmtId="0" fontId="0" fillId="2" borderId="11" xfId="0" applyFill="1" applyBorder="1"/>
    <xf numFmtId="0" fontId="0" fillId="2" borderId="3" xfId="0" applyFill="1" applyBorder="1"/>
    <xf numFmtId="0" fontId="0" fillId="4" borderId="1" xfId="0" applyFill="1" applyBorder="1"/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vertical="center"/>
    </xf>
    <xf numFmtId="44" fontId="0" fillId="2" borderId="36" xfId="1" applyFont="1" applyFill="1" applyBorder="1" applyAlignment="1"/>
    <xf numFmtId="0" fontId="3" fillId="0" borderId="44" xfId="0" applyFont="1" applyBorder="1"/>
    <xf numFmtId="164" fontId="3" fillId="5" borderId="33" xfId="2" applyNumberFormat="1" applyFont="1" applyFill="1" applyBorder="1" applyAlignment="1"/>
    <xf numFmtId="164" fontId="3" fillId="0" borderId="26" xfId="2" applyNumberFormat="1" applyFont="1" applyBorder="1" applyAlignment="1"/>
    <xf numFmtId="0" fontId="3" fillId="0" borderId="29" xfId="0" applyFont="1" applyBorder="1"/>
    <xf numFmtId="164" fontId="3" fillId="5" borderId="40" xfId="2" applyNumberFormat="1" applyFont="1" applyFill="1" applyBorder="1" applyAlignment="1"/>
    <xf numFmtId="164" fontId="3" fillId="0" borderId="45" xfId="2" applyNumberFormat="1" applyFont="1" applyBorder="1" applyAlignment="1"/>
    <xf numFmtId="164" fontId="3" fillId="5" borderId="41" xfId="2" applyNumberFormat="1" applyFont="1" applyFill="1" applyBorder="1" applyAlignment="1"/>
    <xf numFmtId="164" fontId="3" fillId="0" borderId="28" xfId="2" applyNumberFormat="1" applyFont="1" applyBorder="1" applyAlignment="1"/>
    <xf numFmtId="0" fontId="3" fillId="0" borderId="17" xfId="0" applyFont="1" applyBorder="1"/>
    <xf numFmtId="164" fontId="3" fillId="5" borderId="16" xfId="2" applyNumberFormat="1" applyFont="1" applyFill="1" applyBorder="1" applyAlignment="1"/>
    <xf numFmtId="164" fontId="3" fillId="0" borderId="19" xfId="2" applyNumberFormat="1" applyFont="1" applyBorder="1" applyAlignment="1"/>
    <xf numFmtId="10" fontId="3" fillId="0" borderId="42" xfId="2" applyNumberFormat="1" applyFont="1" applyFill="1" applyBorder="1" applyAlignment="1">
      <alignment horizontal="right"/>
    </xf>
    <xf numFmtId="164" fontId="5" fillId="5" borderId="46" xfId="2" applyNumberFormat="1" applyFont="1" applyFill="1" applyBorder="1" applyAlignment="1"/>
    <xf numFmtId="0" fontId="3" fillId="0" borderId="29" xfId="0" applyFont="1" applyBorder="1" applyAlignment="1">
      <alignment horizontal="left"/>
    </xf>
    <xf numFmtId="44" fontId="3" fillId="0" borderId="40" xfId="1" applyFont="1" applyBorder="1" applyAlignment="1">
      <alignment horizontal="center"/>
    </xf>
    <xf numFmtId="164" fontId="3" fillId="5" borderId="45" xfId="2" applyNumberFormat="1" applyFont="1" applyFill="1" applyBorder="1" applyAlignment="1"/>
    <xf numFmtId="44" fontId="3" fillId="0" borderId="41" xfId="0" applyNumberFormat="1" applyFont="1" applyBorder="1"/>
    <xf numFmtId="164" fontId="3" fillId="5" borderId="28" xfId="2" applyNumberFormat="1" applyFont="1" applyFill="1" applyBorder="1" applyAlignment="1"/>
    <xf numFmtId="164" fontId="3" fillId="0" borderId="16" xfId="2" applyNumberFormat="1" applyFont="1" applyBorder="1" applyAlignment="1">
      <alignment horizontal="right"/>
    </xf>
    <xf numFmtId="0" fontId="0" fillId="5" borderId="19" xfId="0" applyFill="1" applyBorder="1"/>
    <xf numFmtId="164" fontId="0" fillId="0" borderId="0" xfId="2" applyNumberFormat="1" applyFont="1" applyAlignment="1"/>
    <xf numFmtId="44" fontId="0" fillId="4" borderId="0" xfId="1" applyFont="1" applyFill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0" xfId="0" applyFont="1" applyAlignment="1">
      <alignment horizontal="center" vertical="top" wrapText="1"/>
    </xf>
    <xf numFmtId="0" fontId="9" fillId="0" borderId="0" xfId="0" applyFont="1"/>
    <xf numFmtId="0" fontId="0" fillId="0" borderId="47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48" xfId="0" applyBorder="1" applyAlignment="1">
      <alignment horizontal="center" vertical="top" wrapText="1"/>
    </xf>
    <xf numFmtId="0" fontId="0" fillId="0" borderId="49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10" fillId="0" borderId="44" xfId="0" applyFont="1" applyBorder="1" applyAlignment="1">
      <alignment vertical="top"/>
    </xf>
    <xf numFmtId="0" fontId="10" fillId="0" borderId="67" xfId="0" applyFont="1" applyBorder="1" applyAlignment="1">
      <alignment vertical="top"/>
    </xf>
    <xf numFmtId="0" fontId="10" fillId="6" borderId="44" xfId="0" applyFont="1" applyFill="1" applyBorder="1" applyAlignment="1">
      <alignment vertical="top"/>
    </xf>
    <xf numFmtId="0" fontId="10" fillId="6" borderId="67" xfId="0" applyFont="1" applyFill="1" applyBorder="1" applyAlignment="1">
      <alignment vertical="top"/>
    </xf>
    <xf numFmtId="0" fontId="9" fillId="0" borderId="44" xfId="0" applyFont="1" applyBorder="1" applyAlignment="1">
      <alignment vertical="top"/>
    </xf>
    <xf numFmtId="0" fontId="9" fillId="0" borderId="54" xfId="0" applyFont="1" applyBorder="1" applyAlignment="1">
      <alignment vertical="top"/>
    </xf>
    <xf numFmtId="0" fontId="10" fillId="0" borderId="31" xfId="0" applyFont="1" applyBorder="1" applyAlignment="1">
      <alignment vertical="top"/>
    </xf>
    <xf numFmtId="0" fontId="10" fillId="0" borderId="21" xfId="0" applyFont="1" applyBorder="1" applyAlignment="1">
      <alignment vertical="top"/>
    </xf>
    <xf numFmtId="0" fontId="10" fillId="6" borderId="31" xfId="0" applyFont="1" applyFill="1" applyBorder="1" applyAlignment="1">
      <alignment vertical="top"/>
    </xf>
    <xf numFmtId="0" fontId="10" fillId="6" borderId="21" xfId="0" applyFont="1" applyFill="1" applyBorder="1" applyAlignment="1">
      <alignment vertical="top"/>
    </xf>
    <xf numFmtId="0" fontId="10" fillId="0" borderId="43" xfId="0" applyFont="1" applyBorder="1" applyAlignment="1">
      <alignment vertical="top"/>
    </xf>
    <xf numFmtId="0" fontId="9" fillId="0" borderId="14" xfId="0" applyFont="1" applyBorder="1"/>
    <xf numFmtId="0" fontId="3" fillId="0" borderId="0" xfId="0" applyFont="1"/>
    <xf numFmtId="0" fontId="8" fillId="0" borderId="0" xfId="0" applyFont="1"/>
    <xf numFmtId="0" fontId="3" fillId="0" borderId="2" xfId="0" applyFont="1" applyBorder="1"/>
    <xf numFmtId="0" fontId="3" fillId="0" borderId="11" xfId="0" applyFont="1" applyBorder="1"/>
    <xf numFmtId="0" fontId="0" fillId="0" borderId="67" xfId="0" applyBorder="1"/>
    <xf numFmtId="0" fontId="0" fillId="0" borderId="68" xfId="0" applyBorder="1"/>
    <xf numFmtId="0" fontId="11" fillId="0" borderId="0" xfId="0" applyFont="1"/>
    <xf numFmtId="44" fontId="7" fillId="0" borderId="0" xfId="1" applyFont="1" applyBorder="1"/>
    <xf numFmtId="9" fontId="0" fillId="0" borderId="15" xfId="2" applyFont="1" applyFill="1" applyBorder="1" applyAlignment="1">
      <alignment horizontal="center"/>
    </xf>
    <xf numFmtId="44" fontId="0" fillId="4" borderId="1" xfId="1" applyFont="1" applyFill="1" applyBorder="1"/>
    <xf numFmtId="0" fontId="0" fillId="4" borderId="1" xfId="0" applyFill="1" applyBorder="1" applyAlignment="1">
      <alignment horizontal="center"/>
    </xf>
    <xf numFmtId="44" fontId="0" fillId="0" borderId="10" xfId="0" applyNumberFormat="1" applyBorder="1"/>
    <xf numFmtId="0" fontId="0" fillId="2" borderId="11" xfId="0" applyFill="1" applyBorder="1" applyAlignment="1">
      <alignment horizontal="right"/>
    </xf>
    <xf numFmtId="0" fontId="0" fillId="6" borderId="29" xfId="0" applyFill="1" applyBorder="1"/>
    <xf numFmtId="0" fontId="0" fillId="6" borderId="0" xfId="0" applyFill="1"/>
    <xf numFmtId="0" fontId="0" fillId="6" borderId="0" xfId="0" applyFill="1" applyAlignment="1">
      <alignment horizontal="right"/>
    </xf>
    <xf numFmtId="44" fontId="0" fillId="6" borderId="43" xfId="1" applyFont="1" applyFill="1" applyBorder="1"/>
    <xf numFmtId="0" fontId="0" fillId="6" borderId="17" xfId="0" applyFill="1" applyBorder="1"/>
    <xf numFmtId="0" fontId="0" fillId="6" borderId="18" xfId="0" applyFill="1" applyBorder="1"/>
    <xf numFmtId="44" fontId="0" fillId="6" borderId="19" xfId="1" applyFont="1" applyFill="1" applyBorder="1"/>
    <xf numFmtId="0" fontId="0" fillId="0" borderId="34" xfId="0" applyBorder="1" applyAlignment="1">
      <alignment horizontal="center"/>
    </xf>
    <xf numFmtId="0" fontId="0" fillId="0" borderId="29" xfId="0" applyBorder="1" applyAlignment="1">
      <alignment horizontal="right"/>
    </xf>
    <xf numFmtId="44" fontId="0" fillId="0" borderId="30" xfId="1" applyFont="1" applyFill="1" applyBorder="1"/>
    <xf numFmtId="0" fontId="0" fillId="0" borderId="31" xfId="0" applyBorder="1" applyAlignment="1">
      <alignment horizontal="right"/>
    </xf>
    <xf numFmtId="44" fontId="0" fillId="0" borderId="32" xfId="1" applyFont="1" applyFill="1" applyBorder="1"/>
    <xf numFmtId="0" fontId="0" fillId="7" borderId="17" xfId="0" applyFill="1" applyBorder="1"/>
    <xf numFmtId="0" fontId="0" fillId="7" borderId="18" xfId="0" applyFill="1" applyBorder="1"/>
    <xf numFmtId="44" fontId="0" fillId="7" borderId="19" xfId="1" applyFont="1" applyFill="1" applyBorder="1"/>
    <xf numFmtId="0" fontId="0" fillId="7" borderId="18" xfId="0" applyFill="1" applyBorder="1" applyAlignment="1">
      <alignment horizontal="right"/>
    </xf>
    <xf numFmtId="44" fontId="0" fillId="7" borderId="16" xfId="1" applyFont="1" applyFill="1" applyBorder="1"/>
    <xf numFmtId="0" fontId="0" fillId="7" borderId="31" xfId="0" applyFill="1" applyBorder="1"/>
    <xf numFmtId="0" fontId="0" fillId="7" borderId="21" xfId="0" applyFill="1" applyBorder="1"/>
    <xf numFmtId="0" fontId="0" fillId="7" borderId="21" xfId="0" applyFill="1" applyBorder="1" applyAlignment="1">
      <alignment horizontal="right"/>
    </xf>
    <xf numFmtId="44" fontId="0" fillId="7" borderId="43" xfId="1" applyFont="1" applyFill="1" applyBorder="1"/>
    <xf numFmtId="0" fontId="0" fillId="8" borderId="17" xfId="0" applyFill="1" applyBorder="1"/>
    <xf numFmtId="0" fontId="0" fillId="8" borderId="18" xfId="0" applyFill="1" applyBorder="1"/>
    <xf numFmtId="10" fontId="0" fillId="0" borderId="0" xfId="2" applyNumberFormat="1" applyFont="1" applyFill="1" applyBorder="1" applyAlignment="1">
      <alignment horizontal="center"/>
    </xf>
    <xf numFmtId="0" fontId="0" fillId="0" borderId="0" xfId="2" applyNumberFormat="1" applyFont="1" applyFill="1" applyBorder="1" applyAlignment="1">
      <alignment horizontal="center"/>
    </xf>
    <xf numFmtId="165" fontId="10" fillId="8" borderId="19" xfId="1" applyNumberFormat="1" applyFont="1" applyFill="1" applyBorder="1"/>
    <xf numFmtId="0" fontId="3" fillId="0" borderId="0" xfId="0" applyFont="1" applyAlignment="1">
      <alignment horizontal="right"/>
    </xf>
    <xf numFmtId="44" fontId="0" fillId="0" borderId="0" xfId="1" applyFont="1" applyFill="1"/>
    <xf numFmtId="0" fontId="12" fillId="0" borderId="0" xfId="0" applyFont="1" applyAlignment="1">
      <alignment horizontal="left" vertical="center" wrapText="1" indent="15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8" fontId="15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right" vertical="center" wrapText="1"/>
    </xf>
    <xf numFmtId="0" fontId="14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 indent="7"/>
    </xf>
    <xf numFmtId="0" fontId="15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center" wrapText="1"/>
    </xf>
    <xf numFmtId="0" fontId="15" fillId="0" borderId="1" xfId="0" applyFont="1" applyBorder="1" applyAlignment="1">
      <alignment horizontal="left" vertical="center" wrapText="1" indent="3"/>
    </xf>
    <xf numFmtId="0" fontId="15" fillId="0" borderId="1" xfId="0" applyFont="1" applyBorder="1" applyAlignment="1">
      <alignment horizontal="left" vertical="center" wrapText="1" indent="2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 indent="3"/>
    </xf>
    <xf numFmtId="0" fontId="14" fillId="0" borderId="1" xfId="0" applyFont="1" applyBorder="1" applyAlignment="1">
      <alignment wrapText="1"/>
    </xf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right" vertical="center" wrapText="1"/>
    </xf>
    <xf numFmtId="0" fontId="17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justify" vertical="center" wrapText="1"/>
    </xf>
    <xf numFmtId="0" fontId="14" fillId="0" borderId="1" xfId="0" applyFont="1" applyBorder="1" applyAlignment="1">
      <alignment horizontal="left" vertical="center" wrapText="1" indent="4"/>
    </xf>
    <xf numFmtId="8" fontId="15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8" fontId="0" fillId="0" borderId="0" xfId="0" applyNumberFormat="1"/>
    <xf numFmtId="8" fontId="0" fillId="4" borderId="1" xfId="1" applyNumberFormat="1" applyFont="1" applyFill="1" applyBorder="1"/>
    <xf numFmtId="0" fontId="18" fillId="0" borderId="0" xfId="0" applyFont="1"/>
    <xf numFmtId="0" fontId="15" fillId="0" borderId="1" xfId="0" applyFont="1" applyBorder="1" applyAlignment="1">
      <alignment horizontal="left"/>
    </xf>
    <xf numFmtId="0" fontId="15" fillId="0" borderId="1" xfId="0" applyFont="1" applyBorder="1"/>
    <xf numFmtId="0" fontId="14" fillId="0" borderId="1" xfId="0" applyFont="1" applyBorder="1"/>
    <xf numFmtId="0" fontId="16" fillId="0" borderId="1" xfId="0" applyFont="1" applyBorder="1"/>
    <xf numFmtId="0" fontId="16" fillId="0" borderId="1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20" fillId="0" borderId="0" xfId="0" applyFont="1"/>
    <xf numFmtId="0" fontId="21" fillId="0" borderId="0" xfId="0" applyFont="1" applyAlignment="1">
      <alignment vertical="center"/>
    </xf>
    <xf numFmtId="0" fontId="20" fillId="0" borderId="55" xfId="0" applyFont="1" applyBorder="1"/>
    <xf numFmtId="0" fontId="20" fillId="0" borderId="30" xfId="0" applyFont="1" applyBorder="1"/>
    <xf numFmtId="0" fontId="20" fillId="0" borderId="0" xfId="0" applyFont="1" applyAlignment="1">
      <alignment horizontal="right"/>
    </xf>
    <xf numFmtId="0" fontId="20" fillId="0" borderId="1" xfId="0" applyFont="1" applyBorder="1"/>
    <xf numFmtId="0" fontId="21" fillId="0" borderId="0" xfId="0" applyFont="1" applyAlignment="1">
      <alignment horizontal="right" vertical="center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right" vertical="center" wrapText="1"/>
    </xf>
    <xf numFmtId="0" fontId="21" fillId="0" borderId="1" xfId="0" applyFont="1" applyBorder="1" applyAlignment="1">
      <alignment vertical="center"/>
    </xf>
    <xf numFmtId="44" fontId="20" fillId="0" borderId="1" xfId="1" applyFont="1" applyBorder="1"/>
    <xf numFmtId="0" fontId="20" fillId="0" borderId="11" xfId="0" applyFont="1" applyBorder="1"/>
    <xf numFmtId="44" fontId="20" fillId="0" borderId="1" xfId="0" applyNumberFormat="1" applyFont="1" applyBorder="1"/>
    <xf numFmtId="8" fontId="21" fillId="0" borderId="1" xfId="0" applyNumberFormat="1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0" fontId="21" fillId="0" borderId="1" xfId="0" applyFont="1" applyBorder="1"/>
    <xf numFmtId="0" fontId="21" fillId="0" borderId="1" xfId="0" applyFont="1" applyBorder="1" applyAlignment="1">
      <alignment horizontal="left"/>
    </xf>
    <xf numFmtId="8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14" xfId="0" applyFont="1" applyBorder="1" applyAlignment="1">
      <alignment vertical="center"/>
    </xf>
    <xf numFmtId="43" fontId="20" fillId="0" borderId="1" xfId="3" applyFont="1" applyBorder="1"/>
    <xf numFmtId="0" fontId="20" fillId="0" borderId="26" xfId="0" applyFont="1" applyBorder="1"/>
    <xf numFmtId="0" fontId="20" fillId="0" borderId="45" xfId="0" applyFont="1" applyBorder="1"/>
    <xf numFmtId="0" fontId="20" fillId="0" borderId="69" xfId="0" applyFont="1" applyBorder="1"/>
    <xf numFmtId="0" fontId="20" fillId="0" borderId="70" xfId="0" applyFont="1" applyBorder="1"/>
    <xf numFmtId="0" fontId="20" fillId="0" borderId="71" xfId="0" applyFont="1" applyBorder="1"/>
    <xf numFmtId="0" fontId="20" fillId="0" borderId="33" xfId="0" applyFont="1" applyBorder="1"/>
    <xf numFmtId="0" fontId="20" fillId="0" borderId="40" xfId="0" applyFont="1" applyBorder="1"/>
    <xf numFmtId="0" fontId="20" fillId="0" borderId="34" xfId="0" applyFont="1" applyBorder="1"/>
    <xf numFmtId="0" fontId="21" fillId="0" borderId="1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165" fontId="11" fillId="0" borderId="1" xfId="1" applyNumberFormat="1" applyFont="1" applyFill="1" applyBorder="1" applyAlignment="1">
      <alignment horizontal="left"/>
    </xf>
    <xf numFmtId="44" fontId="0" fillId="0" borderId="10" xfId="1" applyFont="1" applyBorder="1"/>
    <xf numFmtId="1" fontId="0" fillId="0" borderId="0" xfId="0" applyNumberFormat="1"/>
    <xf numFmtId="0" fontId="11" fillId="0" borderId="0" xfId="0" applyFont="1" applyAlignment="1">
      <alignment horizontal="left"/>
    </xf>
    <xf numFmtId="165" fontId="0" fillId="0" borderId="0" xfId="0" applyNumberFormat="1"/>
    <xf numFmtId="0" fontId="22" fillId="0" borderId="1" xfId="0" applyFont="1" applyBorder="1" applyAlignment="1">
      <alignment vertical="center"/>
    </xf>
    <xf numFmtId="0" fontId="22" fillId="0" borderId="1" xfId="0" applyFont="1" applyBorder="1"/>
    <xf numFmtId="0" fontId="22" fillId="0" borderId="1" xfId="0" applyFont="1" applyBorder="1" applyAlignment="1">
      <alignment vertical="center" wrapText="1"/>
    </xf>
    <xf numFmtId="8" fontId="20" fillId="0" borderId="0" xfId="0" applyNumberFormat="1" applyFont="1"/>
    <xf numFmtId="0" fontId="23" fillId="0" borderId="1" xfId="0" applyFont="1" applyBorder="1"/>
    <xf numFmtId="0" fontId="23" fillId="0" borderId="1" xfId="0" applyFont="1" applyBorder="1" applyAlignment="1">
      <alignment vertical="center"/>
    </xf>
    <xf numFmtId="14" fontId="0" fillId="0" borderId="1" xfId="0" applyNumberFormat="1" applyBorder="1"/>
    <xf numFmtId="0" fontId="11" fillId="0" borderId="1" xfId="1" applyNumberFormat="1" applyFont="1" applyFill="1" applyBorder="1"/>
    <xf numFmtId="0" fontId="20" fillId="0" borderId="1" xfId="0" applyFont="1" applyBorder="1" applyAlignment="1">
      <alignment horizontal="center"/>
    </xf>
    <xf numFmtId="43" fontId="20" fillId="0" borderId="2" xfId="3" applyFont="1" applyBorder="1"/>
    <xf numFmtId="43" fontId="20" fillId="0" borderId="0" xfId="3" applyFont="1" applyBorder="1"/>
    <xf numFmtId="0" fontId="0" fillId="0" borderId="67" xfId="0" applyBorder="1" applyAlignment="1">
      <alignment horizontal="right"/>
    </xf>
    <xf numFmtId="44" fontId="0" fillId="4" borderId="61" xfId="1" applyFont="1" applyFill="1" applyBorder="1"/>
    <xf numFmtId="0" fontId="0" fillId="2" borderId="72" xfId="0" applyFill="1" applyBorder="1"/>
    <xf numFmtId="0" fontId="0" fillId="0" borderId="1" xfId="0" applyBorder="1" applyAlignment="1">
      <alignment horizontal="left"/>
    </xf>
    <xf numFmtId="165" fontId="3" fillId="0" borderId="2" xfId="1" applyNumberFormat="1" applyFont="1" applyBorder="1" applyAlignment="1">
      <alignment horizontal="center"/>
    </xf>
    <xf numFmtId="165" fontId="3" fillId="0" borderId="3" xfId="1" applyNumberFormat="1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6" fillId="0" borderId="0" xfId="0" applyFont="1" applyAlignment="1">
      <alignment horizontal="center" vertical="top"/>
    </xf>
    <xf numFmtId="0" fontId="8" fillId="0" borderId="4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6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/>
    </xf>
    <xf numFmtId="0" fontId="3" fillId="0" borderId="2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11" fillId="0" borderId="1" xfId="1" applyNumberFormat="1" applyFont="1" applyFill="1" applyBorder="1"/>
    <xf numFmtId="165" fontId="11" fillId="0" borderId="1" xfId="1" applyNumberFormat="1" applyFont="1" applyBorder="1"/>
    <xf numFmtId="0" fontId="11" fillId="0" borderId="1" xfId="0" applyFont="1" applyBorder="1"/>
    <xf numFmtId="0" fontId="11" fillId="3" borderId="1" xfId="0" applyFont="1" applyFill="1" applyBorder="1"/>
    <xf numFmtId="0" fontId="4" fillId="3" borderId="0" xfId="0" applyFont="1" applyFill="1" applyBorder="1"/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181</xdr:row>
      <xdr:rowOff>0</xdr:rowOff>
    </xdr:from>
    <xdr:to>
      <xdr:col>6</xdr:col>
      <xdr:colOff>274320</xdr:colOff>
      <xdr:row>181</xdr:row>
      <xdr:rowOff>15240</xdr:rowOff>
    </xdr:to>
    <xdr:pic>
      <xdr:nvPicPr>
        <xdr:cNvPr id="3" name="Picture 26014">
          <a:extLst>
            <a:ext uri="{FF2B5EF4-FFF2-40B4-BE49-F238E27FC236}">
              <a16:creationId xmlns:a16="http://schemas.microsoft.com/office/drawing/2014/main" id="{4FD67EF7-804B-9B13-EBB1-5135ACA1E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8983920"/>
          <a:ext cx="27432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664</xdr:row>
      <xdr:rowOff>0</xdr:rowOff>
    </xdr:from>
    <xdr:to>
      <xdr:col>0</xdr:col>
      <xdr:colOff>594360</xdr:colOff>
      <xdr:row>664</xdr:row>
      <xdr:rowOff>0</xdr:rowOff>
    </xdr:to>
    <xdr:pic>
      <xdr:nvPicPr>
        <xdr:cNvPr id="5" name="Picture 97669">
          <a:extLst>
            <a:ext uri="{FF2B5EF4-FFF2-40B4-BE49-F238E27FC236}">
              <a16:creationId xmlns:a16="http://schemas.microsoft.com/office/drawing/2014/main" id="{EB8F83D8-D166-399C-B2C0-66F782BCD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526514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622</xdr:row>
      <xdr:rowOff>160020</xdr:rowOff>
    </xdr:from>
    <xdr:to>
      <xdr:col>0</xdr:col>
      <xdr:colOff>556260</xdr:colOff>
      <xdr:row>622</xdr:row>
      <xdr:rowOff>167640</xdr:rowOff>
    </xdr:to>
    <xdr:pic>
      <xdr:nvPicPr>
        <xdr:cNvPr id="6" name="Picture 114974">
          <a:extLst>
            <a:ext uri="{FF2B5EF4-FFF2-40B4-BE49-F238E27FC236}">
              <a16:creationId xmlns:a16="http://schemas.microsoft.com/office/drawing/2014/main" id="{C485EBA4-590D-5A21-DD61-D44919FF6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7826990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750</xdr:row>
      <xdr:rowOff>182880</xdr:rowOff>
    </xdr:from>
    <xdr:to>
      <xdr:col>0</xdr:col>
      <xdr:colOff>594360</xdr:colOff>
      <xdr:row>750</xdr:row>
      <xdr:rowOff>190500</xdr:rowOff>
    </xdr:to>
    <xdr:pic>
      <xdr:nvPicPr>
        <xdr:cNvPr id="2" name="Picture 97669">
          <a:extLst>
            <a:ext uri="{FF2B5EF4-FFF2-40B4-BE49-F238E27FC236}">
              <a16:creationId xmlns:a16="http://schemas.microsoft.com/office/drawing/2014/main" id="{86A25248-FCDF-4DCA-AF8A-2A6026B96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36977120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982</xdr:row>
      <xdr:rowOff>160020</xdr:rowOff>
    </xdr:from>
    <xdr:to>
      <xdr:col>0</xdr:col>
      <xdr:colOff>556260</xdr:colOff>
      <xdr:row>982</xdr:row>
      <xdr:rowOff>167640</xdr:rowOff>
    </xdr:to>
    <xdr:pic>
      <xdr:nvPicPr>
        <xdr:cNvPr id="4" name="Picture 114974">
          <a:extLst>
            <a:ext uri="{FF2B5EF4-FFF2-40B4-BE49-F238E27FC236}">
              <a16:creationId xmlns:a16="http://schemas.microsoft.com/office/drawing/2014/main" id="{E76BBE03-0C14-43E1-BAAD-39E1F03C9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5377922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5</xdr:col>
      <xdr:colOff>274320</xdr:colOff>
      <xdr:row>181</xdr:row>
      <xdr:rowOff>15240</xdr:rowOff>
    </xdr:to>
    <xdr:pic>
      <xdr:nvPicPr>
        <xdr:cNvPr id="7" name="Picture 26014">
          <a:extLst>
            <a:ext uri="{FF2B5EF4-FFF2-40B4-BE49-F238E27FC236}">
              <a16:creationId xmlns:a16="http://schemas.microsoft.com/office/drawing/2014/main" id="{7E3AD9EC-4CF5-43CA-8A95-7033E9997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34490025"/>
          <a:ext cx="27432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667</xdr:row>
      <xdr:rowOff>0</xdr:rowOff>
    </xdr:from>
    <xdr:to>
      <xdr:col>0</xdr:col>
      <xdr:colOff>594360</xdr:colOff>
      <xdr:row>667</xdr:row>
      <xdr:rowOff>0</xdr:rowOff>
    </xdr:to>
    <xdr:pic>
      <xdr:nvPicPr>
        <xdr:cNvPr id="8" name="Picture 97669">
          <a:extLst>
            <a:ext uri="{FF2B5EF4-FFF2-40B4-BE49-F238E27FC236}">
              <a16:creationId xmlns:a16="http://schemas.microsoft.com/office/drawing/2014/main" id="{347805DA-6D22-4972-8661-A48B2D5D8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270730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625</xdr:row>
      <xdr:rowOff>160020</xdr:rowOff>
    </xdr:from>
    <xdr:to>
      <xdr:col>0</xdr:col>
      <xdr:colOff>556260</xdr:colOff>
      <xdr:row>625</xdr:row>
      <xdr:rowOff>167640</xdr:rowOff>
    </xdr:to>
    <xdr:pic>
      <xdr:nvPicPr>
        <xdr:cNvPr id="9" name="Picture 114974">
          <a:extLst>
            <a:ext uri="{FF2B5EF4-FFF2-40B4-BE49-F238E27FC236}">
              <a16:creationId xmlns:a16="http://schemas.microsoft.com/office/drawing/2014/main" id="{5C6FE451-09E3-4364-9785-E4F4A2772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92320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753</xdr:row>
      <xdr:rowOff>182880</xdr:rowOff>
    </xdr:from>
    <xdr:to>
      <xdr:col>0</xdr:col>
      <xdr:colOff>594360</xdr:colOff>
      <xdr:row>753</xdr:row>
      <xdr:rowOff>190500</xdr:rowOff>
    </xdr:to>
    <xdr:pic>
      <xdr:nvPicPr>
        <xdr:cNvPr id="10" name="Picture 97669">
          <a:extLst>
            <a:ext uri="{FF2B5EF4-FFF2-40B4-BE49-F238E27FC236}">
              <a16:creationId xmlns:a16="http://schemas.microsoft.com/office/drawing/2014/main" id="{FC9C9DCB-3F33-4ABD-8AE0-7776B722F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36389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985</xdr:row>
      <xdr:rowOff>160020</xdr:rowOff>
    </xdr:from>
    <xdr:to>
      <xdr:col>0</xdr:col>
      <xdr:colOff>556260</xdr:colOff>
      <xdr:row>985</xdr:row>
      <xdr:rowOff>167640</xdr:rowOff>
    </xdr:to>
    <xdr:pic>
      <xdr:nvPicPr>
        <xdr:cNvPr id="11" name="Picture 114974">
          <a:extLst>
            <a:ext uri="{FF2B5EF4-FFF2-40B4-BE49-F238E27FC236}">
              <a16:creationId xmlns:a16="http://schemas.microsoft.com/office/drawing/2014/main" id="{82AFDBC4-4C36-4351-B97C-0C1556AD6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878120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5</xdr:col>
      <xdr:colOff>274320</xdr:colOff>
      <xdr:row>181</xdr:row>
      <xdr:rowOff>15240</xdr:rowOff>
    </xdr:to>
    <xdr:pic>
      <xdr:nvPicPr>
        <xdr:cNvPr id="12" name="Picture 26014">
          <a:extLst>
            <a:ext uri="{FF2B5EF4-FFF2-40B4-BE49-F238E27FC236}">
              <a16:creationId xmlns:a16="http://schemas.microsoft.com/office/drawing/2014/main" id="{8F056350-A31E-4FB9-93DC-162E1F2CA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5450" y="34490025"/>
          <a:ext cx="27432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668</xdr:row>
      <xdr:rowOff>0</xdr:rowOff>
    </xdr:from>
    <xdr:to>
      <xdr:col>0</xdr:col>
      <xdr:colOff>594360</xdr:colOff>
      <xdr:row>668</xdr:row>
      <xdr:rowOff>0</xdr:rowOff>
    </xdr:to>
    <xdr:pic>
      <xdr:nvPicPr>
        <xdr:cNvPr id="13" name="Picture 97669">
          <a:extLst>
            <a:ext uri="{FF2B5EF4-FFF2-40B4-BE49-F238E27FC236}">
              <a16:creationId xmlns:a16="http://schemas.microsoft.com/office/drawing/2014/main" id="{D8A996F1-CA96-4BDA-9410-A1BAA82D3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272635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625</xdr:row>
      <xdr:rowOff>160020</xdr:rowOff>
    </xdr:from>
    <xdr:to>
      <xdr:col>0</xdr:col>
      <xdr:colOff>556260</xdr:colOff>
      <xdr:row>625</xdr:row>
      <xdr:rowOff>167640</xdr:rowOff>
    </xdr:to>
    <xdr:pic>
      <xdr:nvPicPr>
        <xdr:cNvPr id="14" name="Picture 114974">
          <a:extLst>
            <a:ext uri="{FF2B5EF4-FFF2-40B4-BE49-F238E27FC236}">
              <a16:creationId xmlns:a16="http://schemas.microsoft.com/office/drawing/2014/main" id="{8E126E0E-8E40-4969-A6D0-AE96CF69B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92320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755</xdr:row>
      <xdr:rowOff>182880</xdr:rowOff>
    </xdr:from>
    <xdr:to>
      <xdr:col>0</xdr:col>
      <xdr:colOff>594360</xdr:colOff>
      <xdr:row>755</xdr:row>
      <xdr:rowOff>190500</xdr:rowOff>
    </xdr:to>
    <xdr:pic>
      <xdr:nvPicPr>
        <xdr:cNvPr id="15" name="Picture 97669">
          <a:extLst>
            <a:ext uri="{FF2B5EF4-FFF2-40B4-BE49-F238E27FC236}">
              <a16:creationId xmlns:a16="http://schemas.microsoft.com/office/drawing/2014/main" id="{46372277-CF6D-426A-8361-202933812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40199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990</xdr:row>
      <xdr:rowOff>160020</xdr:rowOff>
    </xdr:from>
    <xdr:to>
      <xdr:col>0</xdr:col>
      <xdr:colOff>556260</xdr:colOff>
      <xdr:row>990</xdr:row>
      <xdr:rowOff>167640</xdr:rowOff>
    </xdr:to>
    <xdr:pic>
      <xdr:nvPicPr>
        <xdr:cNvPr id="16" name="Picture 114974">
          <a:extLst>
            <a:ext uri="{FF2B5EF4-FFF2-40B4-BE49-F238E27FC236}">
              <a16:creationId xmlns:a16="http://schemas.microsoft.com/office/drawing/2014/main" id="{332DE4DD-D029-46DE-B439-66A341710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88764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215</xdr:row>
      <xdr:rowOff>182880</xdr:rowOff>
    </xdr:from>
    <xdr:to>
      <xdr:col>0</xdr:col>
      <xdr:colOff>594360</xdr:colOff>
      <xdr:row>215</xdr:row>
      <xdr:rowOff>190500</xdr:rowOff>
    </xdr:to>
    <xdr:pic>
      <xdr:nvPicPr>
        <xdr:cNvPr id="17" name="Picture 97669">
          <a:extLst>
            <a:ext uri="{FF2B5EF4-FFF2-40B4-BE49-F238E27FC236}">
              <a16:creationId xmlns:a16="http://schemas.microsoft.com/office/drawing/2014/main" id="{0EC193E2-0D96-4425-A164-8EC248691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411499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662940</xdr:colOff>
      <xdr:row>213</xdr:row>
      <xdr:rowOff>163830</xdr:rowOff>
    </xdr:from>
    <xdr:to>
      <xdr:col>1</xdr:col>
      <xdr:colOff>670560</xdr:colOff>
      <xdr:row>213</xdr:row>
      <xdr:rowOff>171450</xdr:rowOff>
    </xdr:to>
    <xdr:pic>
      <xdr:nvPicPr>
        <xdr:cNvPr id="18" name="Picture 97669">
          <a:extLst>
            <a:ext uri="{FF2B5EF4-FFF2-40B4-BE49-F238E27FC236}">
              <a16:creationId xmlns:a16="http://schemas.microsoft.com/office/drawing/2014/main" id="{D7ACD2A8-F57B-493A-8354-86D60DB2B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490" y="4074985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213</xdr:row>
      <xdr:rowOff>182880</xdr:rowOff>
    </xdr:from>
    <xdr:to>
      <xdr:col>0</xdr:col>
      <xdr:colOff>594360</xdr:colOff>
      <xdr:row>213</xdr:row>
      <xdr:rowOff>190500</xdr:rowOff>
    </xdr:to>
    <xdr:pic>
      <xdr:nvPicPr>
        <xdr:cNvPr id="19" name="Picture 97669">
          <a:extLst>
            <a:ext uri="{FF2B5EF4-FFF2-40B4-BE49-F238E27FC236}">
              <a16:creationId xmlns:a16="http://schemas.microsoft.com/office/drawing/2014/main" id="{4ED27236-88CD-4FEC-B89A-C86B9E064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407689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5</xdr:col>
      <xdr:colOff>274320</xdr:colOff>
      <xdr:row>181</xdr:row>
      <xdr:rowOff>15240</xdr:rowOff>
    </xdr:to>
    <xdr:pic>
      <xdr:nvPicPr>
        <xdr:cNvPr id="20" name="Picture 26014">
          <a:extLst>
            <a:ext uri="{FF2B5EF4-FFF2-40B4-BE49-F238E27FC236}">
              <a16:creationId xmlns:a16="http://schemas.microsoft.com/office/drawing/2014/main" id="{9454EAD2-2578-4D40-8D5D-CAF13CDB3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34490025"/>
          <a:ext cx="27432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664</xdr:row>
      <xdr:rowOff>0</xdr:rowOff>
    </xdr:from>
    <xdr:to>
      <xdr:col>0</xdr:col>
      <xdr:colOff>594360</xdr:colOff>
      <xdr:row>664</xdr:row>
      <xdr:rowOff>0</xdr:rowOff>
    </xdr:to>
    <xdr:pic>
      <xdr:nvPicPr>
        <xdr:cNvPr id="21" name="Picture 97669">
          <a:extLst>
            <a:ext uri="{FF2B5EF4-FFF2-40B4-BE49-F238E27FC236}">
              <a16:creationId xmlns:a16="http://schemas.microsoft.com/office/drawing/2014/main" id="{9AA2BC30-8C94-4B97-91DE-E8D0CCC1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265015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622</xdr:row>
      <xdr:rowOff>160020</xdr:rowOff>
    </xdr:from>
    <xdr:to>
      <xdr:col>0</xdr:col>
      <xdr:colOff>556260</xdr:colOff>
      <xdr:row>622</xdr:row>
      <xdr:rowOff>167640</xdr:rowOff>
    </xdr:to>
    <xdr:pic>
      <xdr:nvPicPr>
        <xdr:cNvPr id="22" name="Picture 114974">
          <a:extLst>
            <a:ext uri="{FF2B5EF4-FFF2-40B4-BE49-F238E27FC236}">
              <a16:creationId xmlns:a16="http://schemas.microsoft.com/office/drawing/2014/main" id="{0FB31CF0-83E4-48C0-BC56-5901569D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8660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750</xdr:row>
      <xdr:rowOff>182880</xdr:rowOff>
    </xdr:from>
    <xdr:to>
      <xdr:col>0</xdr:col>
      <xdr:colOff>594360</xdr:colOff>
      <xdr:row>750</xdr:row>
      <xdr:rowOff>190500</xdr:rowOff>
    </xdr:to>
    <xdr:pic>
      <xdr:nvPicPr>
        <xdr:cNvPr id="23" name="Picture 97669">
          <a:extLst>
            <a:ext uri="{FF2B5EF4-FFF2-40B4-BE49-F238E27FC236}">
              <a16:creationId xmlns:a16="http://schemas.microsoft.com/office/drawing/2014/main" id="{A456D282-3BA3-4837-8CED-804F318DA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30674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982</xdr:row>
      <xdr:rowOff>160020</xdr:rowOff>
    </xdr:from>
    <xdr:to>
      <xdr:col>0</xdr:col>
      <xdr:colOff>556260</xdr:colOff>
      <xdr:row>982</xdr:row>
      <xdr:rowOff>167640</xdr:rowOff>
    </xdr:to>
    <xdr:pic>
      <xdr:nvPicPr>
        <xdr:cNvPr id="24" name="Picture 114974">
          <a:extLst>
            <a:ext uri="{FF2B5EF4-FFF2-40B4-BE49-F238E27FC236}">
              <a16:creationId xmlns:a16="http://schemas.microsoft.com/office/drawing/2014/main" id="{01AF0AC7-9797-4441-8EC5-B8AA094F3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87240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5</xdr:col>
      <xdr:colOff>274320</xdr:colOff>
      <xdr:row>181</xdr:row>
      <xdr:rowOff>15240</xdr:rowOff>
    </xdr:to>
    <xdr:pic>
      <xdr:nvPicPr>
        <xdr:cNvPr id="25" name="Picture 26014">
          <a:extLst>
            <a:ext uri="{FF2B5EF4-FFF2-40B4-BE49-F238E27FC236}">
              <a16:creationId xmlns:a16="http://schemas.microsoft.com/office/drawing/2014/main" id="{5987CBEE-8544-4B13-B5AA-24BDA6227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34490025"/>
          <a:ext cx="27432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665</xdr:row>
      <xdr:rowOff>0</xdr:rowOff>
    </xdr:from>
    <xdr:to>
      <xdr:col>0</xdr:col>
      <xdr:colOff>594360</xdr:colOff>
      <xdr:row>665</xdr:row>
      <xdr:rowOff>0</xdr:rowOff>
    </xdr:to>
    <xdr:pic>
      <xdr:nvPicPr>
        <xdr:cNvPr id="26" name="Picture 97669">
          <a:extLst>
            <a:ext uri="{FF2B5EF4-FFF2-40B4-BE49-F238E27FC236}">
              <a16:creationId xmlns:a16="http://schemas.microsoft.com/office/drawing/2014/main" id="{A2E4E0D7-5740-4E26-96EF-5AA7FAB5E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266920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622</xdr:row>
      <xdr:rowOff>160020</xdr:rowOff>
    </xdr:from>
    <xdr:to>
      <xdr:col>0</xdr:col>
      <xdr:colOff>556260</xdr:colOff>
      <xdr:row>622</xdr:row>
      <xdr:rowOff>167640</xdr:rowOff>
    </xdr:to>
    <xdr:pic>
      <xdr:nvPicPr>
        <xdr:cNvPr id="27" name="Picture 114974">
          <a:extLst>
            <a:ext uri="{FF2B5EF4-FFF2-40B4-BE49-F238E27FC236}">
              <a16:creationId xmlns:a16="http://schemas.microsoft.com/office/drawing/2014/main" id="{66876E11-1297-453D-8CE1-38FB36C0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8660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752</xdr:row>
      <xdr:rowOff>182880</xdr:rowOff>
    </xdr:from>
    <xdr:to>
      <xdr:col>0</xdr:col>
      <xdr:colOff>594360</xdr:colOff>
      <xdr:row>752</xdr:row>
      <xdr:rowOff>190500</xdr:rowOff>
    </xdr:to>
    <xdr:pic>
      <xdr:nvPicPr>
        <xdr:cNvPr id="28" name="Picture 97669">
          <a:extLst>
            <a:ext uri="{FF2B5EF4-FFF2-40B4-BE49-F238E27FC236}">
              <a16:creationId xmlns:a16="http://schemas.microsoft.com/office/drawing/2014/main" id="{97DD7BFE-4831-4CEF-8E55-677B314B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34484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987</xdr:row>
      <xdr:rowOff>160020</xdr:rowOff>
    </xdr:from>
    <xdr:to>
      <xdr:col>0</xdr:col>
      <xdr:colOff>556260</xdr:colOff>
      <xdr:row>987</xdr:row>
      <xdr:rowOff>167640</xdr:rowOff>
    </xdr:to>
    <xdr:pic>
      <xdr:nvPicPr>
        <xdr:cNvPr id="29" name="Picture 114974">
          <a:extLst>
            <a:ext uri="{FF2B5EF4-FFF2-40B4-BE49-F238E27FC236}">
              <a16:creationId xmlns:a16="http://schemas.microsoft.com/office/drawing/2014/main" id="{2241715F-C886-43E7-ACC0-3C145DB4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881930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667</xdr:row>
      <xdr:rowOff>0</xdr:rowOff>
    </xdr:from>
    <xdr:to>
      <xdr:col>0</xdr:col>
      <xdr:colOff>594360</xdr:colOff>
      <xdr:row>667</xdr:row>
      <xdr:rowOff>0</xdr:rowOff>
    </xdr:to>
    <xdr:pic>
      <xdr:nvPicPr>
        <xdr:cNvPr id="30" name="Picture 97669">
          <a:extLst>
            <a:ext uri="{FF2B5EF4-FFF2-40B4-BE49-F238E27FC236}">
              <a16:creationId xmlns:a16="http://schemas.microsoft.com/office/drawing/2014/main" id="{18B43212-A10C-45C2-831C-D81321C9D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270730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624</xdr:row>
      <xdr:rowOff>160020</xdr:rowOff>
    </xdr:from>
    <xdr:to>
      <xdr:col>0</xdr:col>
      <xdr:colOff>556260</xdr:colOff>
      <xdr:row>624</xdr:row>
      <xdr:rowOff>167640</xdr:rowOff>
    </xdr:to>
    <xdr:pic>
      <xdr:nvPicPr>
        <xdr:cNvPr id="31" name="Picture 114974">
          <a:extLst>
            <a:ext uri="{FF2B5EF4-FFF2-40B4-BE49-F238E27FC236}">
              <a16:creationId xmlns:a16="http://schemas.microsoft.com/office/drawing/2014/main" id="{F134CF4E-9B36-40C6-B9B6-EF5358D65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9041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754</xdr:row>
      <xdr:rowOff>182880</xdr:rowOff>
    </xdr:from>
    <xdr:to>
      <xdr:col>0</xdr:col>
      <xdr:colOff>594360</xdr:colOff>
      <xdr:row>754</xdr:row>
      <xdr:rowOff>190500</xdr:rowOff>
    </xdr:to>
    <xdr:pic>
      <xdr:nvPicPr>
        <xdr:cNvPr id="32" name="Picture 97669">
          <a:extLst>
            <a:ext uri="{FF2B5EF4-FFF2-40B4-BE49-F238E27FC236}">
              <a16:creationId xmlns:a16="http://schemas.microsoft.com/office/drawing/2014/main" id="{298EBE11-22C4-4935-ADDF-BC6D66196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38294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986</xdr:row>
      <xdr:rowOff>160020</xdr:rowOff>
    </xdr:from>
    <xdr:to>
      <xdr:col>0</xdr:col>
      <xdr:colOff>556260</xdr:colOff>
      <xdr:row>986</xdr:row>
      <xdr:rowOff>167640</xdr:rowOff>
    </xdr:to>
    <xdr:pic>
      <xdr:nvPicPr>
        <xdr:cNvPr id="33" name="Picture 114974">
          <a:extLst>
            <a:ext uri="{FF2B5EF4-FFF2-40B4-BE49-F238E27FC236}">
              <a16:creationId xmlns:a16="http://schemas.microsoft.com/office/drawing/2014/main" id="{CCBA778B-D481-45BB-9194-73D1D07F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88002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184</xdr:row>
      <xdr:rowOff>0</xdr:rowOff>
    </xdr:from>
    <xdr:to>
      <xdr:col>6</xdr:col>
      <xdr:colOff>274320</xdr:colOff>
      <xdr:row>184</xdr:row>
      <xdr:rowOff>15240</xdr:rowOff>
    </xdr:to>
    <xdr:pic>
      <xdr:nvPicPr>
        <xdr:cNvPr id="2" name="Picture 26014">
          <a:extLst>
            <a:ext uri="{FF2B5EF4-FFF2-40B4-BE49-F238E27FC236}">
              <a16:creationId xmlns:a16="http://schemas.microsoft.com/office/drawing/2014/main" id="{13A82FD1-B8B5-44EF-AC80-C4BB3F4DD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9820" y="33688020"/>
          <a:ext cx="274320" cy="1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508</xdr:row>
      <xdr:rowOff>182880</xdr:rowOff>
    </xdr:from>
    <xdr:to>
      <xdr:col>0</xdr:col>
      <xdr:colOff>594360</xdr:colOff>
      <xdr:row>508</xdr:row>
      <xdr:rowOff>190500</xdr:rowOff>
    </xdr:to>
    <xdr:pic>
      <xdr:nvPicPr>
        <xdr:cNvPr id="3" name="Picture 97669">
          <a:extLst>
            <a:ext uri="{FF2B5EF4-FFF2-40B4-BE49-F238E27FC236}">
              <a16:creationId xmlns:a16="http://schemas.microsoft.com/office/drawing/2014/main" id="{BB15D271-5A15-4D1F-89BD-583204895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93139260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596</xdr:row>
      <xdr:rowOff>160020</xdr:rowOff>
    </xdr:from>
    <xdr:to>
      <xdr:col>0</xdr:col>
      <xdr:colOff>556260</xdr:colOff>
      <xdr:row>596</xdr:row>
      <xdr:rowOff>167640</xdr:rowOff>
    </xdr:to>
    <xdr:pic>
      <xdr:nvPicPr>
        <xdr:cNvPr id="4" name="Picture 114974">
          <a:extLst>
            <a:ext uri="{FF2B5EF4-FFF2-40B4-BE49-F238E27FC236}">
              <a16:creationId xmlns:a16="http://schemas.microsoft.com/office/drawing/2014/main" id="{2157D6FA-AC08-4EF9-98D1-F12321A9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09209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1348740</xdr:colOff>
      <xdr:row>5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9F2E73-F060-493A-A0EF-756649AD4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6980" cy="10439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358140</xdr:colOff>
      <xdr:row>6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2CB1D-9006-4B56-8446-C9CB573B7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06980" cy="10439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600075</xdr:colOff>
      <xdr:row>4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A3F63A-DEF0-42CE-B856-E81E8BCC6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70735" cy="7543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748</xdr:row>
      <xdr:rowOff>182880</xdr:rowOff>
    </xdr:from>
    <xdr:to>
      <xdr:col>0</xdr:col>
      <xdr:colOff>594360</xdr:colOff>
      <xdr:row>748</xdr:row>
      <xdr:rowOff>190500</xdr:rowOff>
    </xdr:to>
    <xdr:pic>
      <xdr:nvPicPr>
        <xdr:cNvPr id="4" name="Picture 97669">
          <a:extLst>
            <a:ext uri="{FF2B5EF4-FFF2-40B4-BE49-F238E27FC236}">
              <a16:creationId xmlns:a16="http://schemas.microsoft.com/office/drawing/2014/main" id="{1288BA36-1600-4ECD-802A-E225CE8EA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93139260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840</xdr:row>
      <xdr:rowOff>160020</xdr:rowOff>
    </xdr:from>
    <xdr:to>
      <xdr:col>0</xdr:col>
      <xdr:colOff>556260</xdr:colOff>
      <xdr:row>840</xdr:row>
      <xdr:rowOff>167640</xdr:rowOff>
    </xdr:to>
    <xdr:pic>
      <xdr:nvPicPr>
        <xdr:cNvPr id="5" name="Picture 114974">
          <a:extLst>
            <a:ext uri="{FF2B5EF4-FFF2-40B4-BE49-F238E27FC236}">
              <a16:creationId xmlns:a16="http://schemas.microsoft.com/office/drawing/2014/main" id="{9F9B4CBD-5CBD-4822-921A-C3AC51183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0920984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444</xdr:row>
      <xdr:rowOff>0</xdr:rowOff>
    </xdr:from>
    <xdr:to>
      <xdr:col>0</xdr:col>
      <xdr:colOff>594360</xdr:colOff>
      <xdr:row>444</xdr:row>
      <xdr:rowOff>0</xdr:rowOff>
    </xdr:to>
    <xdr:pic>
      <xdr:nvPicPr>
        <xdr:cNvPr id="2" name="Picture 97669">
          <a:extLst>
            <a:ext uri="{FF2B5EF4-FFF2-40B4-BE49-F238E27FC236}">
              <a16:creationId xmlns:a16="http://schemas.microsoft.com/office/drawing/2014/main" id="{8C205B37-FAA2-4EB6-B030-125C673B2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265015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409</xdr:row>
      <xdr:rowOff>160020</xdr:rowOff>
    </xdr:from>
    <xdr:to>
      <xdr:col>0</xdr:col>
      <xdr:colOff>556260</xdr:colOff>
      <xdr:row>409</xdr:row>
      <xdr:rowOff>167640</xdr:rowOff>
    </xdr:to>
    <xdr:pic>
      <xdr:nvPicPr>
        <xdr:cNvPr id="3" name="Picture 114974">
          <a:extLst>
            <a:ext uri="{FF2B5EF4-FFF2-40B4-BE49-F238E27FC236}">
              <a16:creationId xmlns:a16="http://schemas.microsoft.com/office/drawing/2014/main" id="{BA7479AC-71B8-422A-8B87-DCC1CF77B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8660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516</xdr:row>
      <xdr:rowOff>182880</xdr:rowOff>
    </xdr:from>
    <xdr:to>
      <xdr:col>0</xdr:col>
      <xdr:colOff>594360</xdr:colOff>
      <xdr:row>516</xdr:row>
      <xdr:rowOff>190500</xdr:rowOff>
    </xdr:to>
    <xdr:pic>
      <xdr:nvPicPr>
        <xdr:cNvPr id="4" name="Picture 97669">
          <a:extLst>
            <a:ext uri="{FF2B5EF4-FFF2-40B4-BE49-F238E27FC236}">
              <a16:creationId xmlns:a16="http://schemas.microsoft.com/office/drawing/2014/main" id="{CA2D0A49-59FF-4D9F-B069-100827B7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30674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411</xdr:row>
      <xdr:rowOff>160020</xdr:rowOff>
    </xdr:from>
    <xdr:to>
      <xdr:col>0</xdr:col>
      <xdr:colOff>556260</xdr:colOff>
      <xdr:row>411</xdr:row>
      <xdr:rowOff>167640</xdr:rowOff>
    </xdr:to>
    <xdr:pic>
      <xdr:nvPicPr>
        <xdr:cNvPr id="6" name="Picture 114974">
          <a:extLst>
            <a:ext uri="{FF2B5EF4-FFF2-40B4-BE49-F238E27FC236}">
              <a16:creationId xmlns:a16="http://schemas.microsoft.com/office/drawing/2014/main" id="{90A5FADA-E590-4AA4-A1E2-042C56D79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92320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518</xdr:row>
      <xdr:rowOff>182880</xdr:rowOff>
    </xdr:from>
    <xdr:to>
      <xdr:col>0</xdr:col>
      <xdr:colOff>594360</xdr:colOff>
      <xdr:row>518</xdr:row>
      <xdr:rowOff>190500</xdr:rowOff>
    </xdr:to>
    <xdr:pic>
      <xdr:nvPicPr>
        <xdr:cNvPr id="7" name="Picture 97669">
          <a:extLst>
            <a:ext uri="{FF2B5EF4-FFF2-40B4-BE49-F238E27FC236}">
              <a16:creationId xmlns:a16="http://schemas.microsoft.com/office/drawing/2014/main" id="{F7571D81-21A1-480B-AE85-D5A1A856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36389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411</xdr:row>
      <xdr:rowOff>160020</xdr:rowOff>
    </xdr:from>
    <xdr:to>
      <xdr:col>0</xdr:col>
      <xdr:colOff>556260</xdr:colOff>
      <xdr:row>411</xdr:row>
      <xdr:rowOff>167640</xdr:rowOff>
    </xdr:to>
    <xdr:pic>
      <xdr:nvPicPr>
        <xdr:cNvPr id="9" name="Picture 114974">
          <a:extLst>
            <a:ext uri="{FF2B5EF4-FFF2-40B4-BE49-F238E27FC236}">
              <a16:creationId xmlns:a16="http://schemas.microsoft.com/office/drawing/2014/main" id="{AE218ED7-2B68-4FFB-9DAF-F49F69089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92320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520</xdr:row>
      <xdr:rowOff>182880</xdr:rowOff>
    </xdr:from>
    <xdr:to>
      <xdr:col>0</xdr:col>
      <xdr:colOff>594360</xdr:colOff>
      <xdr:row>520</xdr:row>
      <xdr:rowOff>190500</xdr:rowOff>
    </xdr:to>
    <xdr:pic>
      <xdr:nvPicPr>
        <xdr:cNvPr id="10" name="Picture 97669">
          <a:extLst>
            <a:ext uri="{FF2B5EF4-FFF2-40B4-BE49-F238E27FC236}">
              <a16:creationId xmlns:a16="http://schemas.microsoft.com/office/drawing/2014/main" id="{A8B324DC-9A81-402F-AB09-9C28FEF80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40199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1</xdr:row>
      <xdr:rowOff>182880</xdr:rowOff>
    </xdr:from>
    <xdr:to>
      <xdr:col>0</xdr:col>
      <xdr:colOff>594360</xdr:colOff>
      <xdr:row>1</xdr:row>
      <xdr:rowOff>190500</xdr:rowOff>
    </xdr:to>
    <xdr:pic>
      <xdr:nvPicPr>
        <xdr:cNvPr id="11" name="Picture 97669">
          <a:extLst>
            <a:ext uri="{FF2B5EF4-FFF2-40B4-BE49-F238E27FC236}">
              <a16:creationId xmlns:a16="http://schemas.microsoft.com/office/drawing/2014/main" id="{6541D445-207A-42E0-8A22-FA653D5A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411499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662940</xdr:colOff>
      <xdr:row>0</xdr:row>
      <xdr:rowOff>163830</xdr:rowOff>
    </xdr:from>
    <xdr:to>
      <xdr:col>1</xdr:col>
      <xdr:colOff>670560</xdr:colOff>
      <xdr:row>0</xdr:row>
      <xdr:rowOff>171450</xdr:rowOff>
    </xdr:to>
    <xdr:pic>
      <xdr:nvPicPr>
        <xdr:cNvPr id="12" name="Picture 97669">
          <a:extLst>
            <a:ext uri="{FF2B5EF4-FFF2-40B4-BE49-F238E27FC236}">
              <a16:creationId xmlns:a16="http://schemas.microsoft.com/office/drawing/2014/main" id="{EE206004-12C5-4A13-A4E0-B00B0172C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490" y="4074985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0</xdr:row>
      <xdr:rowOff>182880</xdr:rowOff>
    </xdr:from>
    <xdr:to>
      <xdr:col>0</xdr:col>
      <xdr:colOff>594360</xdr:colOff>
      <xdr:row>0</xdr:row>
      <xdr:rowOff>190500</xdr:rowOff>
    </xdr:to>
    <xdr:pic>
      <xdr:nvPicPr>
        <xdr:cNvPr id="13" name="Picture 97669">
          <a:extLst>
            <a:ext uri="{FF2B5EF4-FFF2-40B4-BE49-F238E27FC236}">
              <a16:creationId xmlns:a16="http://schemas.microsoft.com/office/drawing/2014/main" id="{FC25849F-659D-4184-B7B7-8EB0ACE14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407689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444</xdr:row>
      <xdr:rowOff>0</xdr:rowOff>
    </xdr:from>
    <xdr:to>
      <xdr:col>0</xdr:col>
      <xdr:colOff>594360</xdr:colOff>
      <xdr:row>444</xdr:row>
      <xdr:rowOff>0</xdr:rowOff>
    </xdr:to>
    <xdr:pic>
      <xdr:nvPicPr>
        <xdr:cNvPr id="14" name="Picture 97669">
          <a:extLst>
            <a:ext uri="{FF2B5EF4-FFF2-40B4-BE49-F238E27FC236}">
              <a16:creationId xmlns:a16="http://schemas.microsoft.com/office/drawing/2014/main" id="{D1B9347D-5BA7-40E3-8F9D-231ADBB1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265015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409</xdr:row>
      <xdr:rowOff>160020</xdr:rowOff>
    </xdr:from>
    <xdr:to>
      <xdr:col>0</xdr:col>
      <xdr:colOff>556260</xdr:colOff>
      <xdr:row>409</xdr:row>
      <xdr:rowOff>167640</xdr:rowOff>
    </xdr:to>
    <xdr:pic>
      <xdr:nvPicPr>
        <xdr:cNvPr id="15" name="Picture 114974">
          <a:extLst>
            <a:ext uri="{FF2B5EF4-FFF2-40B4-BE49-F238E27FC236}">
              <a16:creationId xmlns:a16="http://schemas.microsoft.com/office/drawing/2014/main" id="{206A37AB-156C-45D9-9626-9CE90AD19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8660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516</xdr:row>
      <xdr:rowOff>182880</xdr:rowOff>
    </xdr:from>
    <xdr:to>
      <xdr:col>0</xdr:col>
      <xdr:colOff>594360</xdr:colOff>
      <xdr:row>516</xdr:row>
      <xdr:rowOff>190500</xdr:rowOff>
    </xdr:to>
    <xdr:pic>
      <xdr:nvPicPr>
        <xdr:cNvPr id="16" name="Picture 97669">
          <a:extLst>
            <a:ext uri="{FF2B5EF4-FFF2-40B4-BE49-F238E27FC236}">
              <a16:creationId xmlns:a16="http://schemas.microsoft.com/office/drawing/2014/main" id="{7FE1F4A4-0F83-4351-ACC2-9ED92B7FF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30674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445</xdr:row>
      <xdr:rowOff>0</xdr:rowOff>
    </xdr:from>
    <xdr:to>
      <xdr:col>0</xdr:col>
      <xdr:colOff>594360</xdr:colOff>
      <xdr:row>445</xdr:row>
      <xdr:rowOff>0</xdr:rowOff>
    </xdr:to>
    <xdr:pic>
      <xdr:nvPicPr>
        <xdr:cNvPr id="17" name="Picture 97669">
          <a:extLst>
            <a:ext uri="{FF2B5EF4-FFF2-40B4-BE49-F238E27FC236}">
              <a16:creationId xmlns:a16="http://schemas.microsoft.com/office/drawing/2014/main" id="{2504498C-E2EE-4AAB-8F75-56E70FD03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26692025"/>
          <a:ext cx="76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409</xdr:row>
      <xdr:rowOff>160020</xdr:rowOff>
    </xdr:from>
    <xdr:to>
      <xdr:col>0</xdr:col>
      <xdr:colOff>556260</xdr:colOff>
      <xdr:row>409</xdr:row>
      <xdr:rowOff>167640</xdr:rowOff>
    </xdr:to>
    <xdr:pic>
      <xdr:nvPicPr>
        <xdr:cNvPr id="18" name="Picture 114974">
          <a:extLst>
            <a:ext uri="{FF2B5EF4-FFF2-40B4-BE49-F238E27FC236}">
              <a16:creationId xmlns:a16="http://schemas.microsoft.com/office/drawing/2014/main" id="{8CEC9117-5D40-448F-BFEB-933BC0C88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8660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517</xdr:row>
      <xdr:rowOff>182880</xdr:rowOff>
    </xdr:from>
    <xdr:to>
      <xdr:col>0</xdr:col>
      <xdr:colOff>594360</xdr:colOff>
      <xdr:row>517</xdr:row>
      <xdr:rowOff>190500</xdr:rowOff>
    </xdr:to>
    <xdr:pic>
      <xdr:nvPicPr>
        <xdr:cNvPr id="19" name="Picture 97669">
          <a:extLst>
            <a:ext uri="{FF2B5EF4-FFF2-40B4-BE49-F238E27FC236}">
              <a16:creationId xmlns:a16="http://schemas.microsoft.com/office/drawing/2014/main" id="{603CC3B4-F2E2-4F11-AEDA-9DF558026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34484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548640</xdr:colOff>
      <xdr:row>410</xdr:row>
      <xdr:rowOff>160020</xdr:rowOff>
    </xdr:from>
    <xdr:to>
      <xdr:col>0</xdr:col>
      <xdr:colOff>556260</xdr:colOff>
      <xdr:row>410</xdr:row>
      <xdr:rowOff>167640</xdr:rowOff>
    </xdr:to>
    <xdr:pic>
      <xdr:nvPicPr>
        <xdr:cNvPr id="21" name="Picture 114974">
          <a:extLst>
            <a:ext uri="{FF2B5EF4-FFF2-40B4-BE49-F238E27FC236}">
              <a16:creationId xmlns:a16="http://schemas.microsoft.com/office/drawing/2014/main" id="{8263FD08-9D47-46B2-A222-16EDD4BF2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" y="11904154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586740</xdr:colOff>
      <xdr:row>519</xdr:row>
      <xdr:rowOff>182880</xdr:rowOff>
    </xdr:from>
    <xdr:to>
      <xdr:col>0</xdr:col>
      <xdr:colOff>594360</xdr:colOff>
      <xdr:row>519</xdr:row>
      <xdr:rowOff>190500</xdr:rowOff>
    </xdr:to>
    <xdr:pic>
      <xdr:nvPicPr>
        <xdr:cNvPr id="22" name="Picture 97669">
          <a:extLst>
            <a:ext uri="{FF2B5EF4-FFF2-40B4-BE49-F238E27FC236}">
              <a16:creationId xmlns:a16="http://schemas.microsoft.com/office/drawing/2014/main" id="{CB92A955-D39F-4586-9549-1FB19FAE1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" y="143829405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3D55E-F286-48E1-86D9-7BDFCB45D47F}">
  <dimension ref="A1:P57"/>
  <sheetViews>
    <sheetView tabSelected="1" topLeftCell="A30" workbookViewId="0">
      <selection activeCell="F29" sqref="F29"/>
    </sheetView>
  </sheetViews>
  <sheetFormatPr defaultRowHeight="15" x14ac:dyDescent="0.25"/>
  <cols>
    <col min="1" max="1" width="13.5703125" bestFit="1" customWidth="1"/>
    <col min="2" max="2" width="17.7109375" customWidth="1"/>
    <col min="4" max="4" width="13.85546875" bestFit="1" customWidth="1"/>
    <col min="5" max="5" width="16" customWidth="1"/>
    <col min="6" max="6" width="17.85546875" customWidth="1"/>
    <col min="8" max="8" width="15.28515625" bestFit="1" customWidth="1"/>
    <col min="9" max="9" width="16.28515625" bestFit="1" customWidth="1"/>
    <col min="11" max="11" width="11.42578125" bestFit="1" customWidth="1"/>
  </cols>
  <sheetData>
    <row r="1" spans="1:16" ht="18.75" x14ac:dyDescent="0.3">
      <c r="A1" s="4" t="s">
        <v>0</v>
      </c>
      <c r="E1" s="5" t="s">
        <v>7</v>
      </c>
      <c r="F1" s="264">
        <f ca="1">TODAY()</f>
        <v>45861</v>
      </c>
    </row>
    <row r="2" spans="1:16" x14ac:dyDescent="0.25">
      <c r="D2" s="5" t="s">
        <v>8</v>
      </c>
      <c r="E2" s="273">
        <f>F52</f>
        <v>90915.734580648364</v>
      </c>
      <c r="F2" s="274"/>
    </row>
    <row r="3" spans="1:16" x14ac:dyDescent="0.25">
      <c r="A3" t="s">
        <v>1</v>
      </c>
      <c r="B3" s="272" t="s">
        <v>1902</v>
      </c>
      <c r="C3" s="272"/>
      <c r="E3" s="5" t="s">
        <v>9</v>
      </c>
      <c r="F3" s="6"/>
    </row>
    <row r="4" spans="1:16" x14ac:dyDescent="0.25">
      <c r="A4" t="s">
        <v>2</v>
      </c>
      <c r="B4" s="272"/>
      <c r="C4" s="272"/>
      <c r="E4" s="5" t="s">
        <v>10</v>
      </c>
      <c r="F4" s="6"/>
    </row>
    <row r="5" spans="1:16" x14ac:dyDescent="0.25">
      <c r="A5" t="s">
        <v>3</v>
      </c>
      <c r="B5" s="272"/>
      <c r="C5" s="272"/>
    </row>
    <row r="6" spans="1:16" x14ac:dyDescent="0.25">
      <c r="A6" t="s">
        <v>4</v>
      </c>
      <c r="B6" s="272" t="s">
        <v>1903</v>
      </c>
      <c r="C6" s="272"/>
      <c r="E6" s="256"/>
    </row>
    <row r="7" spans="1:16" x14ac:dyDescent="0.25">
      <c r="A7" t="s">
        <v>5</v>
      </c>
      <c r="B7" s="272" t="s">
        <v>1904</v>
      </c>
      <c r="C7" s="272"/>
    </row>
    <row r="8" spans="1:16" ht="15.75" thickBot="1" x14ac:dyDescent="0.3">
      <c r="A8" t="s">
        <v>6</v>
      </c>
      <c r="B8" s="272" t="s">
        <v>1846</v>
      </c>
      <c r="C8" s="272"/>
    </row>
    <row r="9" spans="1:16" ht="15.75" thickBot="1" x14ac:dyDescent="0.3">
      <c r="E9" s="29"/>
      <c r="F9" s="30" t="s">
        <v>11</v>
      </c>
    </row>
    <row r="10" spans="1:16" x14ac:dyDescent="0.25">
      <c r="C10" s="5" t="s">
        <v>15</v>
      </c>
      <c r="D10" s="34">
        <v>4</v>
      </c>
      <c r="E10" s="31" t="s">
        <v>12</v>
      </c>
      <c r="F10" s="52">
        <v>26</v>
      </c>
    </row>
    <row r="11" spans="1:16" ht="15.75" thickBot="1" x14ac:dyDescent="0.3">
      <c r="C11" s="5" t="s">
        <v>16</v>
      </c>
      <c r="D11" s="156">
        <f>4+2+4+2</f>
        <v>12</v>
      </c>
      <c r="E11" s="157" t="s">
        <v>13</v>
      </c>
      <c r="F11" s="158">
        <v>28</v>
      </c>
    </row>
    <row r="12" spans="1:16" ht="15.75" thickBot="1" x14ac:dyDescent="0.3">
      <c r="E12" s="159" t="s">
        <v>14</v>
      </c>
      <c r="F12" s="160">
        <v>32</v>
      </c>
    </row>
    <row r="13" spans="1:16" ht="15.75" thickBot="1" x14ac:dyDescent="0.3">
      <c r="A13" s="153" t="s">
        <v>17</v>
      </c>
      <c r="B13" s="154"/>
      <c r="C13" s="154"/>
      <c r="D13" s="154"/>
      <c r="E13" s="154"/>
      <c r="F13" s="155"/>
      <c r="H13" t="s">
        <v>65</v>
      </c>
    </row>
    <row r="14" spans="1:16" x14ac:dyDescent="0.25">
      <c r="A14" s="75" t="s">
        <v>18</v>
      </c>
      <c r="B14" s="5" t="s">
        <v>19</v>
      </c>
      <c r="D14" s="147">
        <f>'Rough Labor'!F47</f>
        <v>5845</v>
      </c>
      <c r="F14" s="53">
        <f>D14</f>
        <v>5845</v>
      </c>
      <c r="H14" s="60" t="s">
        <v>66</v>
      </c>
      <c r="I14" s="60" t="s">
        <v>73</v>
      </c>
      <c r="J14" s="60" t="s">
        <v>74</v>
      </c>
      <c r="K14" s="59" t="s">
        <v>1905</v>
      </c>
    </row>
    <row r="15" spans="1:16" x14ac:dyDescent="0.25">
      <c r="A15" s="35"/>
      <c r="B15" s="5" t="s">
        <v>20</v>
      </c>
      <c r="D15" s="63">
        <f>'Trim Labor'!F46</f>
        <v>1218</v>
      </c>
      <c r="F15" s="54">
        <f>D15</f>
        <v>1218</v>
      </c>
      <c r="H15" s="6" t="s">
        <v>67</v>
      </c>
      <c r="I15" s="6" t="s">
        <v>1914</v>
      </c>
      <c r="J15" s="292">
        <v>1231</v>
      </c>
      <c r="K15" t="s">
        <v>1909</v>
      </c>
    </row>
    <row r="16" spans="1:16" x14ac:dyDescent="0.25">
      <c r="A16" s="35"/>
      <c r="B16" s="5" t="s">
        <v>21</v>
      </c>
      <c r="D16" s="63">
        <f>'Gas PIpe'!F38</f>
        <v>3515</v>
      </c>
      <c r="F16" s="54">
        <f>D16</f>
        <v>3515</v>
      </c>
      <c r="H16" s="6" t="s">
        <v>68</v>
      </c>
      <c r="I16" s="6" t="s">
        <v>1916</v>
      </c>
      <c r="J16" s="292">
        <v>495</v>
      </c>
      <c r="K16" t="s">
        <v>317</v>
      </c>
      <c r="P16">
        <v>400</v>
      </c>
    </row>
    <row r="17" spans="1:11" x14ac:dyDescent="0.25">
      <c r="A17" s="35"/>
      <c r="B17" s="5" t="s">
        <v>22</v>
      </c>
      <c r="D17" s="3">
        <v>24</v>
      </c>
      <c r="E17" s="9" t="s">
        <v>26</v>
      </c>
      <c r="F17" s="54">
        <f>D17*F12</f>
        <v>768</v>
      </c>
      <c r="H17" s="6" t="s">
        <v>69</v>
      </c>
      <c r="I17" s="265" t="s">
        <v>1911</v>
      </c>
      <c r="J17" s="253">
        <v>2089</v>
      </c>
    </row>
    <row r="18" spans="1:11" x14ac:dyDescent="0.25">
      <c r="A18" s="35"/>
      <c r="B18" s="5" t="s">
        <v>23</v>
      </c>
      <c r="C18" s="143">
        <v>32</v>
      </c>
      <c r="D18" s="146">
        <v>24</v>
      </c>
      <c r="F18" s="54">
        <f>D18*F12</f>
        <v>768</v>
      </c>
      <c r="H18" s="6" t="s">
        <v>1847</v>
      </c>
      <c r="I18" s="6" t="s">
        <v>1913</v>
      </c>
      <c r="J18" s="293">
        <v>904</v>
      </c>
    </row>
    <row r="19" spans="1:11" x14ac:dyDescent="0.25">
      <c r="A19" s="35"/>
      <c r="B19" s="5" t="s">
        <v>24</v>
      </c>
      <c r="D19" s="145">
        <v>375</v>
      </c>
      <c r="F19" s="54">
        <f>D19</f>
        <v>375</v>
      </c>
      <c r="H19" s="6" t="s">
        <v>70</v>
      </c>
      <c r="I19" s="6"/>
      <c r="J19" s="294"/>
    </row>
    <row r="20" spans="1:11" x14ac:dyDescent="0.25">
      <c r="A20" s="35"/>
      <c r="B20" s="5" t="s">
        <v>25</v>
      </c>
      <c r="D20" s="145">
        <v>0</v>
      </c>
      <c r="F20" s="54">
        <f>D20</f>
        <v>0</v>
      </c>
      <c r="H20" s="6" t="s">
        <v>1919</v>
      </c>
      <c r="I20" s="6" t="s">
        <v>1917</v>
      </c>
      <c r="J20" s="294">
        <v>815</v>
      </c>
    </row>
    <row r="21" spans="1:11" x14ac:dyDescent="0.25">
      <c r="A21" s="35"/>
      <c r="B21" s="5" t="s">
        <v>26</v>
      </c>
      <c r="D21" s="144">
        <v>0.05</v>
      </c>
      <c r="F21" s="54">
        <f>(F14+F15+F16+F17)*D21</f>
        <v>567.30000000000007</v>
      </c>
      <c r="H21" s="60" t="s">
        <v>71</v>
      </c>
      <c r="I21" s="60" t="s">
        <v>73</v>
      </c>
      <c r="J21" s="295" t="s">
        <v>74</v>
      </c>
      <c r="K21" s="59" t="s">
        <v>1906</v>
      </c>
    </row>
    <row r="22" spans="1:11" ht="15.75" thickBot="1" x14ac:dyDescent="0.3">
      <c r="A22" s="35"/>
      <c r="B22" s="5" t="s">
        <v>27</v>
      </c>
      <c r="D22" s="144">
        <v>0.05</v>
      </c>
      <c r="F22" s="55">
        <f>(SUM(F14:F21))*D22</f>
        <v>652.81500000000005</v>
      </c>
      <c r="H22" s="6" t="s">
        <v>67</v>
      </c>
      <c r="I22" s="6" t="s">
        <v>1915</v>
      </c>
      <c r="J22" s="292">
        <v>1012</v>
      </c>
      <c r="K22" t="s">
        <v>1910</v>
      </c>
    </row>
    <row r="23" spans="1:11" ht="15.75" thickBot="1" x14ac:dyDescent="0.3">
      <c r="A23" s="49"/>
      <c r="B23" s="50"/>
      <c r="C23" s="50"/>
      <c r="D23" s="50"/>
      <c r="E23" s="51" t="s">
        <v>44</v>
      </c>
      <c r="F23" s="56">
        <f>SUM(F14:F22)</f>
        <v>13709.115</v>
      </c>
      <c r="H23" s="6" t="s">
        <v>68</v>
      </c>
      <c r="I23" s="6" t="s">
        <v>1895</v>
      </c>
      <c r="J23" s="292">
        <v>481</v>
      </c>
      <c r="K23" t="s">
        <v>317</v>
      </c>
    </row>
    <row r="24" spans="1:11" x14ac:dyDescent="0.25">
      <c r="A24" s="72" t="s">
        <v>29</v>
      </c>
      <c r="B24" s="269" t="s">
        <v>30</v>
      </c>
      <c r="C24" s="140" t="s">
        <v>39</v>
      </c>
      <c r="D24" s="270">
        <f>J43</f>
        <v>15691</v>
      </c>
      <c r="E24" s="140"/>
      <c r="F24" s="53">
        <f>D24</f>
        <v>15691</v>
      </c>
      <c r="H24" s="6" t="s">
        <v>69</v>
      </c>
      <c r="I24" s="265" t="s">
        <v>1912</v>
      </c>
      <c r="J24" s="253">
        <v>1641</v>
      </c>
    </row>
    <row r="25" spans="1:11" x14ac:dyDescent="0.25">
      <c r="A25" s="35"/>
      <c r="B25" s="5" t="s">
        <v>31</v>
      </c>
      <c r="C25" t="s">
        <v>40</v>
      </c>
      <c r="D25" s="213">
        <f>Materials!F999</f>
        <v>22497.010000000002</v>
      </c>
      <c r="F25" s="54">
        <f>D25</f>
        <v>22497.010000000002</v>
      </c>
      <c r="H25" s="6" t="s">
        <v>1847</v>
      </c>
      <c r="I25" s="6" t="s">
        <v>1848</v>
      </c>
      <c r="J25" s="293">
        <v>727</v>
      </c>
    </row>
    <row r="26" spans="1:11" x14ac:dyDescent="0.25">
      <c r="A26" s="35"/>
      <c r="B26" s="5" t="s">
        <v>32</v>
      </c>
      <c r="C26" t="s">
        <v>41</v>
      </c>
      <c r="D26" t="s">
        <v>43</v>
      </c>
      <c r="F26" s="54">
        <f>0.085*F25</f>
        <v>1912.2458500000002</v>
      </c>
      <c r="H26" s="6" t="s">
        <v>70</v>
      </c>
      <c r="I26" s="6"/>
      <c r="J26" s="294"/>
    </row>
    <row r="27" spans="1:11" x14ac:dyDescent="0.25">
      <c r="A27" s="35"/>
      <c r="B27" s="5" t="s">
        <v>33</v>
      </c>
      <c r="D27" t="s">
        <v>42</v>
      </c>
      <c r="F27" s="54">
        <f>F24*0.02+(F25+F26)*0.08</f>
        <v>2266.5604680000001</v>
      </c>
      <c r="H27" s="6" t="s">
        <v>1919</v>
      </c>
      <c r="I27" s="6" t="s">
        <v>1918</v>
      </c>
      <c r="J27" s="294">
        <v>762</v>
      </c>
    </row>
    <row r="28" spans="1:11" x14ac:dyDescent="0.25">
      <c r="A28" s="35"/>
      <c r="B28" s="5" t="s">
        <v>34</v>
      </c>
      <c r="D28" t="s">
        <v>1920</v>
      </c>
      <c r="F28" s="55">
        <f>0.02*F24</f>
        <v>313.82</v>
      </c>
      <c r="H28" s="60" t="s">
        <v>72</v>
      </c>
      <c r="I28" s="60" t="s">
        <v>73</v>
      </c>
      <c r="J28" s="60" t="s">
        <v>74</v>
      </c>
      <c r="K28" s="296" t="s">
        <v>1907</v>
      </c>
    </row>
    <row r="29" spans="1:11" x14ac:dyDescent="0.25">
      <c r="A29" s="271"/>
      <c r="B29" s="66"/>
      <c r="C29" s="66"/>
      <c r="D29" s="66"/>
      <c r="E29" s="148" t="s">
        <v>590</v>
      </c>
      <c r="F29" s="54">
        <f>SUM(F24:F28)</f>
        <v>42680.636318000004</v>
      </c>
      <c r="H29" s="6" t="s">
        <v>67</v>
      </c>
      <c r="I29" s="6" t="s">
        <v>1914</v>
      </c>
      <c r="J29" s="292">
        <v>1231</v>
      </c>
      <c r="K29" t="s">
        <v>1909</v>
      </c>
    </row>
    <row r="30" spans="1:11" x14ac:dyDescent="0.25">
      <c r="A30" s="75" t="s">
        <v>45</v>
      </c>
      <c r="B30" s="5" t="s">
        <v>35</v>
      </c>
      <c r="D30" s="254">
        <v>0</v>
      </c>
      <c r="F30" s="57">
        <f>D30</f>
        <v>0</v>
      </c>
      <c r="H30" s="6" t="s">
        <v>68</v>
      </c>
      <c r="I30" s="6" t="s">
        <v>1916</v>
      </c>
      <c r="J30" s="292">
        <v>495</v>
      </c>
    </row>
    <row r="31" spans="1:11" x14ac:dyDescent="0.25">
      <c r="A31" s="35"/>
      <c r="B31" s="5" t="s">
        <v>36</v>
      </c>
      <c r="D31" s="17">
        <v>150</v>
      </c>
      <c r="F31" s="54">
        <f>D31</f>
        <v>150</v>
      </c>
      <c r="H31" s="6" t="s">
        <v>69</v>
      </c>
      <c r="I31" s="6" t="s">
        <v>1911</v>
      </c>
      <c r="J31" s="6">
        <v>2089</v>
      </c>
    </row>
    <row r="32" spans="1:11" x14ac:dyDescent="0.25">
      <c r="A32" s="35"/>
      <c r="B32" s="5" t="s">
        <v>37</v>
      </c>
      <c r="D32" s="17">
        <v>100</v>
      </c>
      <c r="F32" s="54">
        <f>D32</f>
        <v>100</v>
      </c>
      <c r="H32" s="6" t="s">
        <v>1847</v>
      </c>
      <c r="I32" s="6" t="s">
        <v>1913</v>
      </c>
      <c r="J32" s="293">
        <v>904</v>
      </c>
    </row>
    <row r="33" spans="1:11" x14ac:dyDescent="0.25">
      <c r="A33" s="35"/>
      <c r="B33" s="5" t="s">
        <v>38</v>
      </c>
      <c r="D33" s="18">
        <v>5.0000000000000001E-3</v>
      </c>
      <c r="F33" s="54">
        <f>D33*F29</f>
        <v>213.40318159000003</v>
      </c>
      <c r="H33" s="6" t="s">
        <v>70</v>
      </c>
      <c r="I33" s="6"/>
      <c r="J33" s="6"/>
    </row>
    <row r="34" spans="1:11" ht="15.75" thickBot="1" x14ac:dyDescent="0.3">
      <c r="A34" s="39"/>
      <c r="B34" s="22"/>
      <c r="C34" s="22"/>
      <c r="D34" s="22"/>
      <c r="E34" s="23" t="s">
        <v>589</v>
      </c>
      <c r="F34" s="58">
        <f>SUM(F30:F33)</f>
        <v>463.40318159000003</v>
      </c>
      <c r="H34" s="6" t="s">
        <v>1919</v>
      </c>
      <c r="I34" s="6" t="s">
        <v>1917</v>
      </c>
      <c r="J34" s="294">
        <v>815</v>
      </c>
    </row>
    <row r="35" spans="1:11" ht="15.75" thickBot="1" x14ac:dyDescent="0.3">
      <c r="A35" s="149"/>
      <c r="B35" s="150"/>
      <c r="C35" s="150"/>
      <c r="D35" s="150"/>
      <c r="E35" s="151" t="s">
        <v>46</v>
      </c>
      <c r="F35" s="152">
        <f>F23+F29+F34</f>
        <v>56853.154499590004</v>
      </c>
      <c r="H35" s="60" t="s">
        <v>72</v>
      </c>
      <c r="I35" s="60" t="s">
        <v>73</v>
      </c>
      <c r="J35" s="60" t="s">
        <v>74</v>
      </c>
      <c r="K35" s="296" t="s">
        <v>1908</v>
      </c>
    </row>
    <row r="36" spans="1:11" ht="15.75" thickBot="1" x14ac:dyDescent="0.3">
      <c r="A36" s="161" t="s">
        <v>47</v>
      </c>
      <c r="B36" s="162"/>
      <c r="C36" s="162"/>
      <c r="D36" s="162"/>
      <c r="E36" s="162"/>
      <c r="F36" s="163"/>
      <c r="H36" s="6" t="s">
        <v>67</v>
      </c>
      <c r="I36" s="6" t="s">
        <v>1915</v>
      </c>
      <c r="J36" s="292">
        <v>1012</v>
      </c>
      <c r="K36" t="s">
        <v>1910</v>
      </c>
    </row>
    <row r="37" spans="1:11" x14ac:dyDescent="0.25">
      <c r="A37" s="35"/>
      <c r="B37" t="s">
        <v>48</v>
      </c>
      <c r="D37" s="21">
        <v>0.1</v>
      </c>
      <c r="F37" s="53">
        <f>D37*F35</f>
        <v>5685.3154499590009</v>
      </c>
      <c r="G37" t="s">
        <v>57</v>
      </c>
      <c r="H37" s="6" t="s">
        <v>68</v>
      </c>
      <c r="I37" s="6" t="s">
        <v>1895</v>
      </c>
      <c r="J37" s="292">
        <v>481</v>
      </c>
    </row>
    <row r="38" spans="1:11" x14ac:dyDescent="0.25">
      <c r="A38" s="35"/>
      <c r="B38" t="s">
        <v>49</v>
      </c>
      <c r="D38" s="19">
        <v>0.06</v>
      </c>
      <c r="F38" s="54">
        <f>D38*F35</f>
        <v>3411.1892699754003</v>
      </c>
      <c r="G38" t="s">
        <v>57</v>
      </c>
      <c r="H38" s="6" t="s">
        <v>69</v>
      </c>
      <c r="I38" s="6" t="s">
        <v>1912</v>
      </c>
      <c r="J38" s="6">
        <v>1641</v>
      </c>
    </row>
    <row r="39" spans="1:11" x14ac:dyDescent="0.25">
      <c r="A39" s="35"/>
      <c r="B39" t="s">
        <v>50</v>
      </c>
      <c r="D39" s="19">
        <v>1.4999999999999999E-2</v>
      </c>
      <c r="F39" s="54">
        <f>D39*F35</f>
        <v>852.79731749385007</v>
      </c>
      <c r="G39" t="s">
        <v>57</v>
      </c>
      <c r="H39" s="6" t="s">
        <v>1847</v>
      </c>
      <c r="I39" s="6" t="s">
        <v>1848</v>
      </c>
      <c r="J39" s="293">
        <v>727</v>
      </c>
    </row>
    <row r="40" spans="1:11" x14ac:dyDescent="0.25">
      <c r="A40" s="35"/>
      <c r="B40" t="s">
        <v>51</v>
      </c>
      <c r="D40" s="19">
        <v>3.5000000000000003E-2</v>
      </c>
      <c r="F40" s="54">
        <f>D40*F35</f>
        <v>1989.8604074856503</v>
      </c>
      <c r="G40" t="s">
        <v>57</v>
      </c>
      <c r="H40" s="6" t="s">
        <v>70</v>
      </c>
      <c r="I40" s="6"/>
      <c r="J40" s="6"/>
    </row>
    <row r="41" spans="1:11" x14ac:dyDescent="0.25">
      <c r="A41" s="35"/>
      <c r="B41" t="s">
        <v>52</v>
      </c>
      <c r="D41" s="19">
        <v>7.7499999999999999E-2</v>
      </c>
      <c r="F41" s="54">
        <f>D41*F35</f>
        <v>4406.119473718225</v>
      </c>
      <c r="G41" t="s">
        <v>57</v>
      </c>
      <c r="H41" s="6" t="s">
        <v>1919</v>
      </c>
      <c r="I41" s="6" t="s">
        <v>1918</v>
      </c>
      <c r="J41" s="294">
        <v>762</v>
      </c>
    </row>
    <row r="42" spans="1:11" x14ac:dyDescent="0.25">
      <c r="A42" s="35"/>
      <c r="B42" t="s">
        <v>53</v>
      </c>
      <c r="D42" s="19">
        <v>2.0500000000000001E-2</v>
      </c>
      <c r="F42" s="54">
        <f>D42*F35</f>
        <v>1165.489667241595</v>
      </c>
      <c r="G42" t="s">
        <v>57</v>
      </c>
    </row>
    <row r="43" spans="1:11" x14ac:dyDescent="0.25">
      <c r="A43" s="35"/>
      <c r="B43" t="s">
        <v>54</v>
      </c>
      <c r="D43" s="19">
        <v>0.105</v>
      </c>
      <c r="F43" s="54">
        <f>D43*F23</f>
        <v>1439.457075</v>
      </c>
      <c r="G43" t="s">
        <v>18</v>
      </c>
      <c r="J43">
        <f>SUM(J15:J34)</f>
        <v>15691</v>
      </c>
    </row>
    <row r="44" spans="1:11" ht="15.75" thickBot="1" x14ac:dyDescent="0.3">
      <c r="A44" s="35"/>
      <c r="B44" t="s">
        <v>55</v>
      </c>
      <c r="D44" s="19">
        <v>5.0000000000000001E-3</v>
      </c>
      <c r="F44" s="54">
        <f>D44*F23</f>
        <v>68.545574999999999</v>
      </c>
      <c r="G44" t="s">
        <v>18</v>
      </c>
    </row>
    <row r="45" spans="1:11" ht="15.75" thickBot="1" x14ac:dyDescent="0.3">
      <c r="A45" s="39"/>
      <c r="B45" s="22" t="s">
        <v>56</v>
      </c>
      <c r="C45" s="22"/>
      <c r="D45" s="28">
        <v>0.115</v>
      </c>
      <c r="E45" s="22"/>
      <c r="F45" s="58">
        <f>D45*F23</f>
        <v>1576.548225</v>
      </c>
      <c r="G45" t="s">
        <v>18</v>
      </c>
      <c r="H45" s="72" t="s">
        <v>164</v>
      </c>
      <c r="I45" s="73"/>
      <c r="J45" s="74">
        <f>F23/F52</f>
        <v>0.15078924526358078</v>
      </c>
    </row>
    <row r="46" spans="1:11" ht="15.75" thickBot="1" x14ac:dyDescent="0.3">
      <c r="A46" s="166"/>
      <c r="B46" s="167"/>
      <c r="C46" s="167"/>
      <c r="D46" s="167"/>
      <c r="E46" s="168" t="s">
        <v>58</v>
      </c>
      <c r="F46" s="169">
        <f>SUM(F37:F45)</f>
        <v>20595.322460873718</v>
      </c>
      <c r="H46" s="75" t="s">
        <v>165</v>
      </c>
      <c r="I46" s="76"/>
      <c r="J46" s="77">
        <f>F29/F52</f>
        <v>0.46945269171354947</v>
      </c>
    </row>
    <row r="47" spans="1:11" ht="15.75" thickBot="1" x14ac:dyDescent="0.3">
      <c r="A47" s="35" t="s">
        <v>59</v>
      </c>
      <c r="F47" s="57"/>
      <c r="H47" s="75" t="s">
        <v>166</v>
      </c>
      <c r="I47" s="78"/>
      <c r="J47" s="79">
        <f>F34/F52</f>
        <v>5.097062502189104E-3</v>
      </c>
    </row>
    <row r="48" spans="1:11" ht="15.75" thickBot="1" x14ac:dyDescent="0.3">
      <c r="A48" s="35"/>
      <c r="B48" t="s">
        <v>60</v>
      </c>
      <c r="D48" s="172">
        <v>0.1</v>
      </c>
      <c r="F48" s="54">
        <f>D48*(F35+F46)</f>
        <v>7744.8476960463731</v>
      </c>
      <c r="H48" s="80" t="s">
        <v>167</v>
      </c>
      <c r="I48" s="81"/>
      <c r="J48" s="82">
        <f>1-F35/F52</f>
        <v>0.37466100052068063</v>
      </c>
    </row>
    <row r="49" spans="1:10" x14ac:dyDescent="0.25">
      <c r="A49" s="35"/>
      <c r="B49" t="s">
        <v>61</v>
      </c>
      <c r="D49" s="173">
        <v>5</v>
      </c>
      <c r="F49" s="71">
        <f>IF(D49=1,(0.01*(F37+F46)),IF(D49=2,(0.025*(F37+F46)),IF(D49=3,(0.05*(F37+F46)),IF(D49=4,(0.075*(F37+F46)),IF(D49=5,(0.1*(F37+F46)),0)))))</f>
        <v>2628.063791083272</v>
      </c>
      <c r="H49" s="75" t="s">
        <v>168</v>
      </c>
      <c r="I49" s="83">
        <f>F22/(F23+F28)</f>
        <v>4.6553378447521866E-2</v>
      </c>
      <c r="J49" s="84"/>
    </row>
    <row r="50" spans="1:10" ht="15.75" thickBot="1" x14ac:dyDescent="0.3">
      <c r="A50" s="35"/>
      <c r="B50" t="s">
        <v>62</v>
      </c>
      <c r="E50" s="42">
        <v>7.2499999999999995E-2</v>
      </c>
      <c r="F50" s="55">
        <f>E50*F29</f>
        <v>3094.3461330549999</v>
      </c>
      <c r="H50" s="85" t="s">
        <v>169</v>
      </c>
      <c r="I50" s="86">
        <f>(F25+F26+F27)/D11</f>
        <v>2222.9846931666666</v>
      </c>
      <c r="J50" s="87"/>
    </row>
    <row r="51" spans="1:10" ht="15.75" thickBot="1" x14ac:dyDescent="0.3">
      <c r="A51" s="161"/>
      <c r="B51" s="162"/>
      <c r="C51" s="162"/>
      <c r="D51" s="162"/>
      <c r="E51" s="164" t="s">
        <v>64</v>
      </c>
      <c r="F51" s="165">
        <f>SUM(F47:F50)</f>
        <v>13467.257620184644</v>
      </c>
      <c r="H51" s="75" t="s">
        <v>170</v>
      </c>
      <c r="I51" s="88">
        <f>F52/D11</f>
        <v>7576.3112150540301</v>
      </c>
      <c r="J51" s="89"/>
    </row>
    <row r="52" spans="1:10" ht="16.5" thickBot="1" x14ac:dyDescent="0.3">
      <c r="A52" s="170"/>
      <c r="B52" s="171" t="s">
        <v>63</v>
      </c>
      <c r="C52" s="171"/>
      <c r="D52" s="171"/>
      <c r="E52" s="171"/>
      <c r="F52" s="174">
        <f>F51+F46+F35</f>
        <v>90915.734580648364</v>
      </c>
      <c r="H52" s="80" t="s">
        <v>171</v>
      </c>
      <c r="I52" s="90">
        <f>D48</f>
        <v>0.1</v>
      </c>
      <c r="J52" s="91"/>
    </row>
    <row r="53" spans="1:10" x14ac:dyDescent="0.25">
      <c r="J53" s="92">
        <f>SUM(J45:J51)</f>
        <v>1</v>
      </c>
    </row>
    <row r="55" spans="1:10" x14ac:dyDescent="0.25">
      <c r="F55" s="257">
        <f>0.7*F52</f>
        <v>63641.014206453852</v>
      </c>
      <c r="H55">
        <v>23200</v>
      </c>
      <c r="I55">
        <v>21300</v>
      </c>
    </row>
    <row r="56" spans="1:10" x14ac:dyDescent="0.25">
      <c r="F56" s="62">
        <f>0.3*F52</f>
        <v>27274.720374194509</v>
      </c>
      <c r="H56">
        <v>9950</v>
      </c>
      <c r="I56">
        <v>9150</v>
      </c>
    </row>
    <row r="57" spans="1:10" x14ac:dyDescent="0.25">
      <c r="H57">
        <f>SUM(H55:H56)</f>
        <v>33150</v>
      </c>
      <c r="I57">
        <f>SUM(I55:I56)</f>
        <v>30450</v>
      </c>
    </row>
  </sheetData>
  <mergeCells count="7">
    <mergeCell ref="B5:C5"/>
    <mergeCell ref="B6:C6"/>
    <mergeCell ref="B7:C7"/>
    <mergeCell ref="B8:C8"/>
    <mergeCell ref="E2:F2"/>
    <mergeCell ref="B3:C3"/>
    <mergeCell ref="B4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6702-B944-437C-8D96-535F1956464F}">
  <dimension ref="A1:F47"/>
  <sheetViews>
    <sheetView workbookViewId="0">
      <selection activeCell="D26" sqref="D26"/>
    </sheetView>
  </sheetViews>
  <sheetFormatPr defaultRowHeight="15" x14ac:dyDescent="0.25"/>
  <cols>
    <col min="3" max="3" width="35.7109375" customWidth="1"/>
    <col min="6" max="6" width="11" customWidth="1"/>
  </cols>
  <sheetData>
    <row r="1" spans="1:6" x14ac:dyDescent="0.25">
      <c r="A1" s="275" t="s">
        <v>28</v>
      </c>
      <c r="B1" s="275"/>
      <c r="C1" s="275"/>
      <c r="D1" s="275"/>
      <c r="E1" s="275"/>
      <c r="F1" s="275"/>
    </row>
    <row r="3" spans="1:6" x14ac:dyDescent="0.25">
      <c r="A3" t="s">
        <v>1</v>
      </c>
      <c r="B3" s="272" t="str">
        <f>Summary!B3</f>
        <v>Bird Dog Group</v>
      </c>
      <c r="C3" s="272"/>
      <c r="E3" s="5" t="s">
        <v>9</v>
      </c>
      <c r="F3" s="6">
        <f>Summary!F3</f>
        <v>0</v>
      </c>
    </row>
    <row r="4" spans="1:6" x14ac:dyDescent="0.25">
      <c r="A4" t="s">
        <v>2</v>
      </c>
      <c r="B4" s="272">
        <f>Summary!B4</f>
        <v>0</v>
      </c>
      <c r="C4" s="272"/>
      <c r="E4" s="5" t="s">
        <v>10</v>
      </c>
      <c r="F4" s="6">
        <f>Summary!F4</f>
        <v>0</v>
      </c>
    </row>
    <row r="5" spans="1:6" x14ac:dyDescent="0.25">
      <c r="A5" t="s">
        <v>3</v>
      </c>
      <c r="B5" s="272">
        <f>Summary!B5</f>
        <v>0</v>
      </c>
      <c r="C5" s="272"/>
    </row>
    <row r="6" spans="1:6" x14ac:dyDescent="0.25">
      <c r="A6" t="s">
        <v>4</v>
      </c>
      <c r="B6" s="272" t="str">
        <f>Summary!B6</f>
        <v>Ebert</v>
      </c>
      <c r="C6" s="272"/>
    </row>
    <row r="7" spans="1:6" x14ac:dyDescent="0.25">
      <c r="A7" t="s">
        <v>5</v>
      </c>
      <c r="B7" s="272" t="str">
        <f>Summary!B7</f>
        <v>2440 Beretania Circle</v>
      </c>
      <c r="C7" s="272"/>
    </row>
    <row r="8" spans="1:6" x14ac:dyDescent="0.25">
      <c r="A8" t="s">
        <v>6</v>
      </c>
      <c r="B8" s="272" t="str">
        <f>Summary!B8</f>
        <v xml:space="preserve">Charlotte, NC </v>
      </c>
      <c r="C8" s="272"/>
    </row>
    <row r="10" spans="1:6" x14ac:dyDescent="0.25">
      <c r="A10" s="1" t="s">
        <v>75</v>
      </c>
      <c r="B10" s="64" t="s">
        <v>76</v>
      </c>
      <c r="C10" s="64" t="s">
        <v>77</v>
      </c>
      <c r="D10" s="64"/>
      <c r="E10" s="64"/>
      <c r="F10" s="2" t="s">
        <v>78</v>
      </c>
    </row>
    <row r="11" spans="1:6" x14ac:dyDescent="0.25">
      <c r="A11" s="6">
        <f>Summary!D11</f>
        <v>12</v>
      </c>
      <c r="B11" s="17">
        <v>50</v>
      </c>
      <c r="C11" s="12" t="s">
        <v>79</v>
      </c>
      <c r="D11" s="12"/>
      <c r="E11" s="12"/>
      <c r="F11" s="63">
        <f>A11*B11</f>
        <v>600</v>
      </c>
    </row>
    <row r="12" spans="1:6" x14ac:dyDescent="0.25">
      <c r="A12" s="6">
        <v>2</v>
      </c>
      <c r="B12" s="17">
        <v>150</v>
      </c>
      <c r="C12" s="12" t="s">
        <v>80</v>
      </c>
      <c r="D12" s="12"/>
      <c r="E12" s="12"/>
      <c r="F12" s="63">
        <f t="shared" ref="F12:F45" si="0">A12*B12</f>
        <v>300</v>
      </c>
    </row>
    <row r="13" spans="1:6" x14ac:dyDescent="0.25">
      <c r="A13" s="6"/>
      <c r="B13" s="17">
        <v>150</v>
      </c>
      <c r="C13" s="12" t="s">
        <v>81</v>
      </c>
      <c r="D13" s="12"/>
      <c r="E13" s="12"/>
      <c r="F13" s="63">
        <f t="shared" si="0"/>
        <v>0</v>
      </c>
    </row>
    <row r="14" spans="1:6" x14ac:dyDescent="0.25">
      <c r="A14" s="6">
        <v>2</v>
      </c>
      <c r="B14" s="17">
        <v>150</v>
      </c>
      <c r="C14" s="12" t="s">
        <v>82</v>
      </c>
      <c r="D14" s="12"/>
      <c r="E14" s="12"/>
      <c r="F14" s="63">
        <f t="shared" si="0"/>
        <v>300</v>
      </c>
    </row>
    <row r="15" spans="1:6" x14ac:dyDescent="0.25">
      <c r="A15" s="6">
        <v>62</v>
      </c>
      <c r="B15" s="17">
        <v>20</v>
      </c>
      <c r="C15" s="12" t="s">
        <v>83</v>
      </c>
      <c r="D15" s="12"/>
      <c r="E15" s="12"/>
      <c r="F15" s="63">
        <f t="shared" si="0"/>
        <v>1240</v>
      </c>
    </row>
    <row r="16" spans="1:6" x14ac:dyDescent="0.25">
      <c r="A16" s="6">
        <v>16</v>
      </c>
      <c r="B16" s="17">
        <v>25</v>
      </c>
      <c r="C16" s="12" t="s">
        <v>84</v>
      </c>
      <c r="D16" s="12"/>
      <c r="E16" s="12"/>
      <c r="F16" s="63">
        <f t="shared" si="0"/>
        <v>400</v>
      </c>
    </row>
    <row r="17" spans="1:6" x14ac:dyDescent="0.25">
      <c r="A17" s="6">
        <v>16</v>
      </c>
      <c r="B17" s="17">
        <v>15</v>
      </c>
      <c r="C17" s="12" t="s">
        <v>85</v>
      </c>
      <c r="D17" s="12"/>
      <c r="E17" s="12"/>
      <c r="F17" s="63">
        <f t="shared" si="0"/>
        <v>240</v>
      </c>
    </row>
    <row r="18" spans="1:6" x14ac:dyDescent="0.25">
      <c r="A18" s="6"/>
      <c r="B18" s="17">
        <v>25</v>
      </c>
      <c r="C18" s="12" t="s">
        <v>86</v>
      </c>
      <c r="D18" s="12"/>
      <c r="E18" s="12"/>
      <c r="F18" s="63">
        <f t="shared" si="0"/>
        <v>0</v>
      </c>
    </row>
    <row r="19" spans="1:6" x14ac:dyDescent="0.25">
      <c r="A19" s="6">
        <v>4</v>
      </c>
      <c r="B19" s="17">
        <v>10</v>
      </c>
      <c r="C19" s="12" t="s">
        <v>87</v>
      </c>
      <c r="D19" s="12"/>
      <c r="E19" s="12"/>
      <c r="F19" s="63">
        <f t="shared" si="0"/>
        <v>40</v>
      </c>
    </row>
    <row r="20" spans="1:6" x14ac:dyDescent="0.25">
      <c r="A20" s="6">
        <v>9</v>
      </c>
      <c r="B20" s="17">
        <v>35</v>
      </c>
      <c r="C20" s="12" t="s">
        <v>88</v>
      </c>
      <c r="D20" s="12"/>
      <c r="E20" s="12"/>
      <c r="F20" s="63">
        <f t="shared" si="0"/>
        <v>315</v>
      </c>
    </row>
    <row r="21" spans="1:6" x14ac:dyDescent="0.25">
      <c r="A21" s="6">
        <v>8</v>
      </c>
      <c r="B21" s="17">
        <v>15</v>
      </c>
      <c r="C21" s="12" t="s">
        <v>89</v>
      </c>
      <c r="D21" s="12"/>
      <c r="E21" s="12"/>
      <c r="F21" s="63">
        <f t="shared" si="0"/>
        <v>120</v>
      </c>
    </row>
    <row r="22" spans="1:6" x14ac:dyDescent="0.25">
      <c r="A22" s="6">
        <v>3</v>
      </c>
      <c r="B22" s="17">
        <v>35</v>
      </c>
      <c r="C22" s="12" t="s">
        <v>90</v>
      </c>
      <c r="D22" s="12"/>
      <c r="E22" s="12"/>
      <c r="F22" s="63">
        <f t="shared" si="0"/>
        <v>105</v>
      </c>
    </row>
    <row r="23" spans="1:6" x14ac:dyDescent="0.25">
      <c r="A23" s="6"/>
      <c r="B23" s="17">
        <v>30</v>
      </c>
      <c r="C23" s="12" t="s">
        <v>91</v>
      </c>
      <c r="D23" s="12"/>
      <c r="E23" s="12"/>
      <c r="F23" s="63">
        <f t="shared" si="0"/>
        <v>0</v>
      </c>
    </row>
    <row r="24" spans="1:6" x14ac:dyDescent="0.25">
      <c r="A24" s="6"/>
      <c r="B24" s="17">
        <v>30</v>
      </c>
      <c r="C24" s="12" t="s">
        <v>92</v>
      </c>
      <c r="D24" s="12"/>
      <c r="E24" s="12"/>
      <c r="F24" s="63">
        <f t="shared" si="0"/>
        <v>0</v>
      </c>
    </row>
    <row r="25" spans="1:6" x14ac:dyDescent="0.25">
      <c r="A25" s="6">
        <v>12</v>
      </c>
      <c r="B25" s="17">
        <v>15</v>
      </c>
      <c r="C25" s="12" t="s">
        <v>93</v>
      </c>
      <c r="D25" s="12"/>
      <c r="E25" s="12"/>
      <c r="F25" s="63">
        <f t="shared" si="0"/>
        <v>180</v>
      </c>
    </row>
    <row r="26" spans="1:6" x14ac:dyDescent="0.25">
      <c r="A26" s="6">
        <v>2</v>
      </c>
      <c r="B26" s="17">
        <v>55</v>
      </c>
      <c r="C26" s="12" t="s">
        <v>94</v>
      </c>
      <c r="D26" s="12"/>
      <c r="E26" s="12"/>
      <c r="F26" s="63">
        <f t="shared" si="0"/>
        <v>110</v>
      </c>
    </row>
    <row r="27" spans="1:6" x14ac:dyDescent="0.25">
      <c r="A27" s="6"/>
      <c r="B27" s="17">
        <v>10</v>
      </c>
      <c r="C27" s="12" t="s">
        <v>95</v>
      </c>
      <c r="D27" s="12"/>
      <c r="E27" s="12"/>
      <c r="F27" s="63">
        <f t="shared" si="0"/>
        <v>0</v>
      </c>
    </row>
    <row r="28" spans="1:6" x14ac:dyDescent="0.25">
      <c r="A28" s="6">
        <v>2</v>
      </c>
      <c r="B28" s="17">
        <v>10</v>
      </c>
      <c r="C28" s="12" t="s">
        <v>96</v>
      </c>
      <c r="D28" s="12"/>
      <c r="E28" s="12"/>
      <c r="F28" s="63">
        <f t="shared" si="0"/>
        <v>20</v>
      </c>
    </row>
    <row r="29" spans="1:6" x14ac:dyDescent="0.25">
      <c r="A29" s="6">
        <v>4</v>
      </c>
      <c r="B29" s="17">
        <v>30</v>
      </c>
      <c r="C29" s="12" t="s">
        <v>97</v>
      </c>
      <c r="D29" s="12"/>
      <c r="E29" s="12"/>
      <c r="F29" s="63">
        <f t="shared" si="0"/>
        <v>120</v>
      </c>
    </row>
    <row r="30" spans="1:6" x14ac:dyDescent="0.25">
      <c r="A30" s="6">
        <v>2</v>
      </c>
      <c r="B30" s="17">
        <v>35</v>
      </c>
      <c r="C30" s="12" t="s">
        <v>98</v>
      </c>
      <c r="D30" s="12"/>
      <c r="E30" s="12"/>
      <c r="F30" s="63">
        <f t="shared" si="0"/>
        <v>70</v>
      </c>
    </row>
    <row r="31" spans="1:6" x14ac:dyDescent="0.25">
      <c r="A31" s="6">
        <v>4</v>
      </c>
      <c r="B31" s="17">
        <v>25</v>
      </c>
      <c r="C31" s="12" t="s">
        <v>99</v>
      </c>
      <c r="D31" s="12"/>
      <c r="E31" s="12"/>
      <c r="F31" s="63">
        <f t="shared" si="0"/>
        <v>100</v>
      </c>
    </row>
    <row r="32" spans="1:6" x14ac:dyDescent="0.25">
      <c r="A32" s="6">
        <v>9</v>
      </c>
      <c r="B32" s="17">
        <v>20</v>
      </c>
      <c r="C32" s="12" t="s">
        <v>100</v>
      </c>
      <c r="D32" s="12"/>
      <c r="E32" s="12"/>
      <c r="F32" s="63">
        <f t="shared" si="0"/>
        <v>180</v>
      </c>
    </row>
    <row r="33" spans="1:6" x14ac:dyDescent="0.25">
      <c r="A33" s="6"/>
      <c r="B33" s="17">
        <v>15</v>
      </c>
      <c r="C33" s="12" t="s">
        <v>101</v>
      </c>
      <c r="D33" s="12"/>
      <c r="E33" s="12"/>
      <c r="F33" s="63">
        <f t="shared" si="0"/>
        <v>0</v>
      </c>
    </row>
    <row r="34" spans="1:6" x14ac:dyDescent="0.25">
      <c r="A34" s="6"/>
      <c r="B34" s="17">
        <v>55</v>
      </c>
      <c r="C34" s="12" t="s">
        <v>102</v>
      </c>
      <c r="D34" s="12"/>
      <c r="E34" s="12"/>
      <c r="F34" s="63">
        <f t="shared" si="0"/>
        <v>0</v>
      </c>
    </row>
    <row r="35" spans="1:6" x14ac:dyDescent="0.25">
      <c r="A35" s="6"/>
      <c r="B35" s="17">
        <v>65</v>
      </c>
      <c r="C35" s="12" t="s">
        <v>103</v>
      </c>
      <c r="D35" s="12"/>
      <c r="E35" s="12"/>
      <c r="F35" s="63">
        <f t="shared" si="0"/>
        <v>0</v>
      </c>
    </row>
    <row r="36" spans="1:6" x14ac:dyDescent="0.25">
      <c r="A36" s="6">
        <v>1</v>
      </c>
      <c r="B36" s="17">
        <v>110</v>
      </c>
      <c r="C36" s="12" t="s">
        <v>104</v>
      </c>
      <c r="D36" s="12"/>
      <c r="E36" s="12"/>
      <c r="F36" s="63">
        <f t="shared" si="0"/>
        <v>110</v>
      </c>
    </row>
    <row r="37" spans="1:6" x14ac:dyDescent="0.25">
      <c r="A37" s="6">
        <v>1</v>
      </c>
      <c r="B37" s="17">
        <v>40</v>
      </c>
      <c r="C37" s="12" t="s">
        <v>105</v>
      </c>
      <c r="D37" s="12"/>
      <c r="E37" s="12"/>
      <c r="F37" s="63">
        <f t="shared" si="0"/>
        <v>40</v>
      </c>
    </row>
    <row r="38" spans="1:6" x14ac:dyDescent="0.25">
      <c r="A38" s="6">
        <v>2</v>
      </c>
      <c r="B38" s="17">
        <v>65</v>
      </c>
      <c r="C38" s="12" t="s">
        <v>106</v>
      </c>
      <c r="D38" s="12"/>
      <c r="E38" s="12"/>
      <c r="F38" s="63">
        <f t="shared" si="0"/>
        <v>130</v>
      </c>
    </row>
    <row r="39" spans="1:6" x14ac:dyDescent="0.25">
      <c r="A39" s="6">
        <v>4</v>
      </c>
      <c r="B39" s="17">
        <v>75</v>
      </c>
      <c r="C39" s="12" t="s">
        <v>107</v>
      </c>
      <c r="D39" s="12"/>
      <c r="E39" s="12"/>
      <c r="F39" s="63">
        <f t="shared" si="0"/>
        <v>300</v>
      </c>
    </row>
    <row r="40" spans="1:6" x14ac:dyDescent="0.25">
      <c r="A40" s="6"/>
      <c r="B40" s="17">
        <v>65</v>
      </c>
      <c r="C40" s="12" t="s">
        <v>108</v>
      </c>
      <c r="D40" s="12"/>
      <c r="E40" s="12"/>
      <c r="F40" s="63">
        <f t="shared" si="0"/>
        <v>0</v>
      </c>
    </row>
    <row r="41" spans="1:6" x14ac:dyDescent="0.25">
      <c r="A41" s="6">
        <v>4</v>
      </c>
      <c r="B41" s="17">
        <v>75</v>
      </c>
      <c r="C41" s="12" t="s">
        <v>1847</v>
      </c>
      <c r="D41" s="12"/>
      <c r="E41" s="12"/>
      <c r="F41" s="63">
        <f t="shared" ref="F41" si="1">A41*B41</f>
        <v>300</v>
      </c>
    </row>
    <row r="42" spans="1:6" x14ac:dyDescent="0.25">
      <c r="A42" s="6">
        <v>4</v>
      </c>
      <c r="B42" s="17">
        <v>100</v>
      </c>
      <c r="C42" s="12" t="s">
        <v>137</v>
      </c>
      <c r="D42" s="12"/>
      <c r="E42" s="12"/>
      <c r="F42" s="63">
        <f t="shared" si="0"/>
        <v>400</v>
      </c>
    </row>
    <row r="43" spans="1:6" x14ac:dyDescent="0.25">
      <c r="A43" s="6">
        <v>4</v>
      </c>
      <c r="B43" s="17">
        <v>25</v>
      </c>
      <c r="C43" s="12" t="s">
        <v>110</v>
      </c>
      <c r="D43" s="12"/>
      <c r="E43" s="12"/>
      <c r="F43" s="63">
        <f t="shared" si="0"/>
        <v>100</v>
      </c>
    </row>
    <row r="44" spans="1:6" x14ac:dyDescent="0.25">
      <c r="A44" s="6"/>
      <c r="B44" s="17">
        <v>25</v>
      </c>
      <c r="C44" s="12" t="s">
        <v>111</v>
      </c>
      <c r="D44" s="12"/>
      <c r="E44" s="12"/>
      <c r="F44" s="63">
        <f t="shared" si="0"/>
        <v>0</v>
      </c>
    </row>
    <row r="45" spans="1:6" x14ac:dyDescent="0.25">
      <c r="A45" s="6">
        <v>1</v>
      </c>
      <c r="B45" s="17">
        <v>25</v>
      </c>
      <c r="C45" s="12" t="s">
        <v>1849</v>
      </c>
      <c r="D45" s="12"/>
      <c r="E45" s="12"/>
      <c r="F45" s="63">
        <f t="shared" si="0"/>
        <v>25</v>
      </c>
    </row>
    <row r="46" spans="1:6" x14ac:dyDescent="0.25">
      <c r="C46" s="14"/>
      <c r="D46" s="14"/>
      <c r="E46" s="14"/>
    </row>
    <row r="47" spans="1:6" x14ac:dyDescent="0.25">
      <c r="E47" t="s">
        <v>112</v>
      </c>
      <c r="F47" s="62">
        <f>SUM(F11:F46)</f>
        <v>5845</v>
      </c>
    </row>
  </sheetData>
  <mergeCells count="7">
    <mergeCell ref="B7:C7"/>
    <mergeCell ref="B8:C8"/>
    <mergeCell ref="A1:F1"/>
    <mergeCell ref="B3:C3"/>
    <mergeCell ref="B4:C4"/>
    <mergeCell ref="B5:C5"/>
    <mergeCell ref="B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5C51B-5CC8-42D7-BA67-FA8CBF5716CD}">
  <dimension ref="A1:F46"/>
  <sheetViews>
    <sheetView topLeftCell="A13" workbookViewId="0">
      <selection activeCell="A42" sqref="A42"/>
    </sheetView>
  </sheetViews>
  <sheetFormatPr defaultRowHeight="15" x14ac:dyDescent="0.25"/>
  <cols>
    <col min="3" max="3" width="35.7109375" customWidth="1"/>
    <col min="6" max="6" width="10.5703125" bestFit="1" customWidth="1"/>
  </cols>
  <sheetData>
    <row r="1" spans="1:6" x14ac:dyDescent="0.25">
      <c r="A1" s="275" t="s">
        <v>113</v>
      </c>
      <c r="B1" s="275"/>
      <c r="C1" s="275"/>
      <c r="D1" s="275"/>
      <c r="E1" s="275"/>
      <c r="F1" s="275"/>
    </row>
    <row r="3" spans="1:6" x14ac:dyDescent="0.25">
      <c r="A3" t="s">
        <v>1</v>
      </c>
      <c r="B3" s="272" t="str">
        <f>Summary!B3</f>
        <v>Bird Dog Group</v>
      </c>
      <c r="C3" s="272"/>
      <c r="E3" s="5" t="s">
        <v>9</v>
      </c>
      <c r="F3" s="6">
        <f>Summary!F3</f>
        <v>0</v>
      </c>
    </row>
    <row r="4" spans="1:6" x14ac:dyDescent="0.25">
      <c r="A4" t="s">
        <v>2</v>
      </c>
      <c r="B4" s="272">
        <f>Summary!B4</f>
        <v>0</v>
      </c>
      <c r="C4" s="272"/>
      <c r="E4" s="5" t="s">
        <v>10</v>
      </c>
      <c r="F4" s="6">
        <f>Summary!F4</f>
        <v>0</v>
      </c>
    </row>
    <row r="5" spans="1:6" x14ac:dyDescent="0.25">
      <c r="A5" t="s">
        <v>3</v>
      </c>
      <c r="B5" s="272">
        <f>Summary!B5</f>
        <v>0</v>
      </c>
      <c r="C5" s="272"/>
    </row>
    <row r="6" spans="1:6" x14ac:dyDescent="0.25">
      <c r="A6" t="s">
        <v>4</v>
      </c>
      <c r="B6" s="272" t="str">
        <f>Summary!B6</f>
        <v>Ebert</v>
      </c>
      <c r="C6" s="272"/>
    </row>
    <row r="7" spans="1:6" x14ac:dyDescent="0.25">
      <c r="A7" t="s">
        <v>5</v>
      </c>
      <c r="B7" s="272" t="str">
        <f>Summary!B7</f>
        <v>2440 Beretania Circle</v>
      </c>
      <c r="C7" s="272"/>
    </row>
    <row r="8" spans="1:6" x14ac:dyDescent="0.25">
      <c r="A8" t="s">
        <v>6</v>
      </c>
      <c r="B8" s="272" t="str">
        <f>Summary!B8</f>
        <v xml:space="preserve">Charlotte, NC </v>
      </c>
      <c r="C8" s="272"/>
    </row>
    <row r="10" spans="1:6" x14ac:dyDescent="0.25">
      <c r="A10" s="1" t="s">
        <v>75</v>
      </c>
      <c r="B10" s="64" t="s">
        <v>76</v>
      </c>
      <c r="C10" s="64" t="s">
        <v>77</v>
      </c>
      <c r="D10" s="64"/>
      <c r="E10" s="64"/>
      <c r="F10" s="2" t="s">
        <v>78</v>
      </c>
    </row>
    <row r="11" spans="1:6" x14ac:dyDescent="0.25">
      <c r="A11" s="6">
        <f>'Rough Labor'!A11</f>
        <v>12</v>
      </c>
      <c r="B11" s="17">
        <v>5</v>
      </c>
      <c r="C11" s="12" t="s">
        <v>79</v>
      </c>
      <c r="D11" s="12"/>
      <c r="E11" s="12"/>
      <c r="F11" s="63">
        <f>A11*B11</f>
        <v>60</v>
      </c>
    </row>
    <row r="12" spans="1:6" x14ac:dyDescent="0.25">
      <c r="A12" s="6">
        <f>'Rough Labor'!A12+'Rough Labor'!A13+'Rough Labor'!A14</f>
        <v>4</v>
      </c>
      <c r="B12" s="17">
        <v>20</v>
      </c>
      <c r="C12" s="12" t="s">
        <v>114</v>
      </c>
      <c r="D12" s="12"/>
      <c r="E12" s="12"/>
      <c r="F12" s="63">
        <f t="shared" ref="F12:F44" si="0">A12*B12</f>
        <v>80</v>
      </c>
    </row>
    <row r="13" spans="1:6" x14ac:dyDescent="0.25">
      <c r="A13" s="6">
        <f>'Rough Labor'!A12+'Rough Labor'!A13+'Rough Labor'!A14</f>
        <v>4</v>
      </c>
      <c r="B13" s="17">
        <v>7.5</v>
      </c>
      <c r="C13" s="12" t="s">
        <v>115</v>
      </c>
      <c r="D13" s="12"/>
      <c r="E13" s="12"/>
      <c r="F13" s="63">
        <f t="shared" si="0"/>
        <v>30</v>
      </c>
    </row>
    <row r="14" spans="1:6" x14ac:dyDescent="0.25">
      <c r="A14" s="6"/>
      <c r="B14" s="17"/>
      <c r="C14" s="12"/>
      <c r="D14" s="12"/>
      <c r="E14" s="12"/>
      <c r="F14" s="63"/>
    </row>
    <row r="15" spans="1:6" x14ac:dyDescent="0.25">
      <c r="A15" s="6">
        <f>'Rough Labor'!A15</f>
        <v>62</v>
      </c>
      <c r="B15" s="17">
        <v>2</v>
      </c>
      <c r="C15" s="12" t="s">
        <v>116</v>
      </c>
      <c r="D15" s="12"/>
      <c r="E15" s="12"/>
      <c r="F15" s="63">
        <f t="shared" si="0"/>
        <v>124</v>
      </c>
    </row>
    <row r="16" spans="1:6" x14ac:dyDescent="0.25">
      <c r="A16" s="6">
        <f>'Rough Labor'!A16</f>
        <v>16</v>
      </c>
      <c r="B16" s="17">
        <v>3.5</v>
      </c>
      <c r="C16" s="12" t="s">
        <v>117</v>
      </c>
      <c r="D16" s="12"/>
      <c r="E16" s="12"/>
      <c r="F16" s="63">
        <f t="shared" si="0"/>
        <v>56</v>
      </c>
    </row>
    <row r="17" spans="1:6" x14ac:dyDescent="0.25">
      <c r="A17" s="6">
        <f>'Rough Labor'!A26+'Rough Labor'!A27</f>
        <v>2</v>
      </c>
      <c r="B17" s="17">
        <v>3.5</v>
      </c>
      <c r="C17" s="12" t="s">
        <v>96</v>
      </c>
      <c r="D17" s="12"/>
      <c r="E17" s="12"/>
      <c r="F17" s="63">
        <f t="shared" si="0"/>
        <v>7</v>
      </c>
    </row>
    <row r="18" spans="1:6" x14ac:dyDescent="0.25">
      <c r="A18" s="6">
        <f>'Rough Labor'!A21</f>
        <v>8</v>
      </c>
      <c r="B18" s="17">
        <v>5</v>
      </c>
      <c r="C18" s="12" t="s">
        <v>118</v>
      </c>
      <c r="D18" s="12"/>
      <c r="E18" s="12"/>
      <c r="F18" s="63">
        <f t="shared" si="0"/>
        <v>40</v>
      </c>
    </row>
    <row r="19" spans="1:6" x14ac:dyDescent="0.25">
      <c r="A19" s="6">
        <f>'Rough Labor'!A22</f>
        <v>3</v>
      </c>
      <c r="B19" s="17">
        <v>5</v>
      </c>
      <c r="C19" s="12" t="s">
        <v>119</v>
      </c>
      <c r="D19" s="12"/>
      <c r="E19" s="12"/>
      <c r="F19" s="63">
        <f t="shared" si="0"/>
        <v>15</v>
      </c>
    </row>
    <row r="20" spans="1:6" x14ac:dyDescent="0.25">
      <c r="A20" s="6">
        <f>'Rough Labor'!A25</f>
        <v>12</v>
      </c>
      <c r="B20" s="17">
        <v>5</v>
      </c>
      <c r="C20" s="12" t="s">
        <v>120</v>
      </c>
      <c r="D20" s="12"/>
      <c r="E20" s="12"/>
      <c r="F20" s="63">
        <f t="shared" si="0"/>
        <v>60</v>
      </c>
    </row>
    <row r="21" spans="1:6" x14ac:dyDescent="0.25">
      <c r="A21" s="6">
        <f>'Rough Labor'!A25</f>
        <v>12</v>
      </c>
      <c r="B21" s="17">
        <v>2</v>
      </c>
      <c r="C21" s="12" t="s">
        <v>121</v>
      </c>
      <c r="D21" s="12"/>
      <c r="E21" s="12"/>
      <c r="F21" s="63">
        <f t="shared" si="0"/>
        <v>24</v>
      </c>
    </row>
    <row r="22" spans="1:6" x14ac:dyDescent="0.25">
      <c r="A22" s="6">
        <f>'Rough Labor'!A26+'Rough Labor'!A27</f>
        <v>2</v>
      </c>
      <c r="B22" s="17">
        <v>2</v>
      </c>
      <c r="C22" s="12" t="s">
        <v>122</v>
      </c>
      <c r="D22" s="12"/>
      <c r="E22" s="12"/>
      <c r="F22" s="63">
        <f t="shared" si="0"/>
        <v>4</v>
      </c>
    </row>
    <row r="23" spans="1:6" x14ac:dyDescent="0.25">
      <c r="A23" s="6"/>
      <c r="B23" s="17"/>
      <c r="C23" s="12"/>
      <c r="D23" s="12"/>
      <c r="E23" s="12"/>
      <c r="F23" s="63">
        <f t="shared" si="0"/>
        <v>0</v>
      </c>
    </row>
    <row r="24" spans="1:6" x14ac:dyDescent="0.25">
      <c r="A24" s="6">
        <f>'Rough Labor'!A12+'Rough Labor'!A13+'Rough Labor'!A14</f>
        <v>4</v>
      </c>
      <c r="B24" s="17">
        <v>7.5</v>
      </c>
      <c r="C24" s="12" t="s">
        <v>123</v>
      </c>
      <c r="D24" s="12"/>
      <c r="E24" s="12"/>
      <c r="F24" s="63">
        <f t="shared" si="0"/>
        <v>30</v>
      </c>
    </row>
    <row r="25" spans="1:6" x14ac:dyDescent="0.25">
      <c r="A25" s="6">
        <f>'Rough Labor'!A12+'Rough Labor'!A13+'Rough Labor'!A14</f>
        <v>4</v>
      </c>
      <c r="B25" s="17">
        <v>7.5</v>
      </c>
      <c r="C25" s="12" t="s">
        <v>124</v>
      </c>
      <c r="D25" s="12"/>
      <c r="E25" s="12"/>
      <c r="F25" s="63">
        <f t="shared" si="0"/>
        <v>30</v>
      </c>
    </row>
    <row r="26" spans="1:6" x14ac:dyDescent="0.25">
      <c r="A26" s="6">
        <f>'Rough Labor'!A12+'Rough Labor'!A13+'Rough Labor'!A14</f>
        <v>4</v>
      </c>
      <c r="B26" s="17">
        <v>15</v>
      </c>
      <c r="C26" s="12" t="s">
        <v>125</v>
      </c>
      <c r="D26" s="12"/>
      <c r="E26" s="12"/>
      <c r="F26" s="63">
        <f t="shared" si="0"/>
        <v>60</v>
      </c>
    </row>
    <row r="27" spans="1:6" x14ac:dyDescent="0.25">
      <c r="A27" s="6">
        <f>'Rough Labor'!A32</f>
        <v>9</v>
      </c>
      <c r="B27" s="17">
        <v>6</v>
      </c>
      <c r="C27" s="12" t="s">
        <v>126</v>
      </c>
      <c r="D27" s="12"/>
      <c r="E27" s="12"/>
      <c r="F27" s="63">
        <f t="shared" si="0"/>
        <v>54</v>
      </c>
    </row>
    <row r="28" spans="1:6" x14ac:dyDescent="0.25">
      <c r="A28" s="6"/>
      <c r="B28" s="17"/>
      <c r="C28" s="12"/>
      <c r="D28" s="12"/>
      <c r="E28" s="12"/>
      <c r="F28" s="63">
        <f t="shared" si="0"/>
        <v>0</v>
      </c>
    </row>
    <row r="29" spans="1:6" x14ac:dyDescent="0.25">
      <c r="A29" s="6">
        <f>'Rough Labor'!A33+'Rough Labor'!A34+'Rough Labor'!A35+'Rough Labor'!A36</f>
        <v>1</v>
      </c>
      <c r="B29" s="17">
        <v>24</v>
      </c>
      <c r="C29" s="12" t="s">
        <v>127</v>
      </c>
      <c r="D29" s="12"/>
      <c r="E29" s="12"/>
      <c r="F29" s="63">
        <f t="shared" si="0"/>
        <v>24</v>
      </c>
    </row>
    <row r="30" spans="1:6" x14ac:dyDescent="0.25">
      <c r="A30" s="6"/>
      <c r="B30" s="17">
        <v>30</v>
      </c>
      <c r="C30" s="12" t="s">
        <v>128</v>
      </c>
      <c r="D30" s="12"/>
      <c r="E30" s="12"/>
      <c r="F30" s="63">
        <f t="shared" si="0"/>
        <v>0</v>
      </c>
    </row>
    <row r="31" spans="1:6" x14ac:dyDescent="0.25">
      <c r="A31" s="6">
        <v>1</v>
      </c>
      <c r="B31" s="17">
        <v>250</v>
      </c>
      <c r="C31" s="12" t="s">
        <v>132</v>
      </c>
      <c r="D31" s="12"/>
      <c r="E31" s="12"/>
      <c r="F31" s="63">
        <f t="shared" ref="F31" si="1">A31*B31</f>
        <v>250</v>
      </c>
    </row>
    <row r="32" spans="1:6" x14ac:dyDescent="0.25">
      <c r="A32" s="6">
        <v>1</v>
      </c>
      <c r="B32" s="17">
        <v>15</v>
      </c>
      <c r="C32" s="12" t="s">
        <v>131</v>
      </c>
      <c r="D32" s="12"/>
      <c r="E32" s="12"/>
      <c r="F32" s="63">
        <f t="shared" si="0"/>
        <v>15</v>
      </c>
    </row>
    <row r="33" spans="1:6" x14ac:dyDescent="0.25">
      <c r="A33" s="6">
        <v>1</v>
      </c>
      <c r="B33" s="17">
        <v>55</v>
      </c>
      <c r="C33" s="12" t="s">
        <v>109</v>
      </c>
      <c r="D33" s="12"/>
      <c r="E33" s="12"/>
      <c r="F33" s="63">
        <f t="shared" si="0"/>
        <v>55</v>
      </c>
    </row>
    <row r="34" spans="1:6" x14ac:dyDescent="0.25">
      <c r="A34" s="6"/>
      <c r="B34" s="17"/>
      <c r="C34" s="12"/>
      <c r="D34" s="12"/>
      <c r="E34" s="12"/>
      <c r="F34" s="63">
        <f t="shared" si="0"/>
        <v>0</v>
      </c>
    </row>
    <row r="35" spans="1:6" x14ac:dyDescent="0.25">
      <c r="A35" s="6"/>
      <c r="B35" s="17">
        <v>25</v>
      </c>
      <c r="C35" s="12" t="s">
        <v>129</v>
      </c>
      <c r="D35" s="12"/>
      <c r="E35" s="12"/>
      <c r="F35" s="63">
        <f t="shared" si="0"/>
        <v>0</v>
      </c>
    </row>
    <row r="36" spans="1:6" x14ac:dyDescent="0.25">
      <c r="A36" s="6"/>
      <c r="B36" s="17">
        <v>20</v>
      </c>
      <c r="C36" s="12" t="s">
        <v>130</v>
      </c>
      <c r="D36" s="12"/>
      <c r="E36" s="12"/>
      <c r="F36" s="63">
        <f t="shared" si="0"/>
        <v>0</v>
      </c>
    </row>
    <row r="37" spans="1:6" x14ac:dyDescent="0.25">
      <c r="A37" s="6"/>
      <c r="B37" s="17">
        <v>25</v>
      </c>
      <c r="C37" s="12" t="s">
        <v>134</v>
      </c>
      <c r="D37" s="12"/>
      <c r="E37" s="12"/>
      <c r="F37" s="63">
        <f t="shared" si="0"/>
        <v>0</v>
      </c>
    </row>
    <row r="38" spans="1:6" x14ac:dyDescent="0.25">
      <c r="A38" s="6"/>
      <c r="B38" s="17">
        <v>20</v>
      </c>
      <c r="C38" s="12" t="s">
        <v>133</v>
      </c>
      <c r="D38" s="12"/>
      <c r="E38" s="12"/>
      <c r="F38" s="63">
        <f t="shared" si="0"/>
        <v>0</v>
      </c>
    </row>
    <row r="39" spans="1:6" x14ac:dyDescent="0.25">
      <c r="A39" s="6"/>
      <c r="B39" s="17">
        <v>50</v>
      </c>
      <c r="C39" s="12" t="s">
        <v>135</v>
      </c>
      <c r="D39" s="12"/>
      <c r="E39" s="12"/>
      <c r="F39" s="63">
        <f t="shared" si="0"/>
        <v>0</v>
      </c>
    </row>
    <row r="40" spans="1:6" x14ac:dyDescent="0.25">
      <c r="A40" s="6"/>
      <c r="B40" s="17">
        <v>40</v>
      </c>
      <c r="C40" s="12" t="s">
        <v>136</v>
      </c>
      <c r="D40" s="12"/>
      <c r="E40" s="12"/>
      <c r="F40" s="63">
        <f t="shared" si="0"/>
        <v>0</v>
      </c>
    </row>
    <row r="41" spans="1:6" x14ac:dyDescent="0.25">
      <c r="A41" s="6">
        <v>4</v>
      </c>
      <c r="B41" s="17">
        <v>50</v>
      </c>
      <c r="C41" s="12" t="s">
        <v>137</v>
      </c>
      <c r="D41" s="12"/>
      <c r="E41" s="12"/>
      <c r="F41" s="63">
        <f t="shared" si="0"/>
        <v>200</v>
      </c>
    </row>
    <row r="42" spans="1:6" x14ac:dyDescent="0.25">
      <c r="A42" s="6"/>
      <c r="B42" s="17">
        <v>50</v>
      </c>
      <c r="C42" s="12" t="s">
        <v>138</v>
      </c>
      <c r="D42" s="12"/>
      <c r="E42" s="12"/>
      <c r="F42" s="63">
        <f t="shared" si="0"/>
        <v>0</v>
      </c>
    </row>
    <row r="43" spans="1:6" x14ac:dyDescent="0.25">
      <c r="A43" s="6"/>
      <c r="B43" s="17">
        <v>25</v>
      </c>
      <c r="C43" s="12" t="s">
        <v>139</v>
      </c>
      <c r="D43" s="12"/>
      <c r="E43" s="12"/>
      <c r="F43" s="63">
        <f t="shared" si="0"/>
        <v>0</v>
      </c>
    </row>
    <row r="44" spans="1:6" x14ac:dyDescent="0.25">
      <c r="A44" s="6"/>
      <c r="B44" s="17">
        <v>75</v>
      </c>
      <c r="C44" s="12" t="s">
        <v>140</v>
      </c>
      <c r="D44" s="12"/>
      <c r="E44" s="12"/>
      <c r="F44" s="63">
        <f t="shared" si="0"/>
        <v>0</v>
      </c>
    </row>
    <row r="45" spans="1:6" x14ac:dyDescent="0.25">
      <c r="C45" s="14"/>
      <c r="D45" s="14"/>
      <c r="E45" s="14"/>
    </row>
    <row r="46" spans="1:6" x14ac:dyDescent="0.25">
      <c r="E46" t="s">
        <v>112</v>
      </c>
      <c r="F46" s="62">
        <f>SUM(F11:F45)</f>
        <v>1218</v>
      </c>
    </row>
  </sheetData>
  <mergeCells count="7">
    <mergeCell ref="B8:C8"/>
    <mergeCell ref="A1:F1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A414-1763-46A4-B371-F8EEF331DC60}">
  <dimension ref="A1:F992"/>
  <sheetViews>
    <sheetView topLeftCell="A13" workbookViewId="0">
      <selection activeCell="A30" sqref="A30"/>
    </sheetView>
  </sheetViews>
  <sheetFormatPr defaultColWidth="8.85546875" defaultRowHeight="15" x14ac:dyDescent="0.25"/>
  <cols>
    <col min="1" max="2" width="9" style="221" bestFit="1" customWidth="1"/>
    <col min="3" max="3" width="35.7109375" style="221" customWidth="1"/>
    <col min="4" max="5" width="8.85546875" style="221"/>
    <col min="6" max="6" width="13.7109375" style="221" bestFit="1" customWidth="1"/>
    <col min="7" max="16384" width="8.85546875" style="221"/>
  </cols>
  <sheetData>
    <row r="1" spans="1:6" x14ac:dyDescent="0.25">
      <c r="A1" s="277" t="s">
        <v>21</v>
      </c>
      <c r="B1" s="277"/>
      <c r="C1" s="277"/>
      <c r="D1" s="277"/>
      <c r="E1" s="277"/>
      <c r="F1" s="277"/>
    </row>
    <row r="3" spans="1:6" x14ac:dyDescent="0.25">
      <c r="A3" s="221" t="s">
        <v>1</v>
      </c>
      <c r="B3" s="276" t="str">
        <f>Summary!B3</f>
        <v>Bird Dog Group</v>
      </c>
      <c r="C3" s="276"/>
      <c r="E3" s="225" t="s">
        <v>9</v>
      </c>
      <c r="F3" s="226">
        <f>Summary!F3</f>
        <v>0</v>
      </c>
    </row>
    <row r="4" spans="1:6" x14ac:dyDescent="0.25">
      <c r="A4" s="221" t="s">
        <v>2</v>
      </c>
      <c r="B4" s="276">
        <f>Summary!B4</f>
        <v>0</v>
      </c>
      <c r="C4" s="276"/>
      <c r="E4" s="225" t="s">
        <v>10</v>
      </c>
      <c r="F4" s="226">
        <f>Summary!F4</f>
        <v>0</v>
      </c>
    </row>
    <row r="5" spans="1:6" x14ac:dyDescent="0.25">
      <c r="A5" s="221" t="s">
        <v>3</v>
      </c>
      <c r="B5" s="276">
        <f>Summary!B5</f>
        <v>0</v>
      </c>
      <c r="C5" s="276"/>
    </row>
    <row r="6" spans="1:6" x14ac:dyDescent="0.25">
      <c r="A6" s="221" t="s">
        <v>4</v>
      </c>
      <c r="B6" s="276" t="str">
        <f>Summary!B6</f>
        <v>Ebert</v>
      </c>
      <c r="C6" s="276"/>
    </row>
    <row r="7" spans="1:6" x14ac:dyDescent="0.25">
      <c r="A7" s="221" t="s">
        <v>5</v>
      </c>
      <c r="B7" s="276" t="str">
        <f>Summary!B7</f>
        <v>2440 Beretania Circle</v>
      </c>
      <c r="C7" s="276"/>
    </row>
    <row r="8" spans="1:6" x14ac:dyDescent="0.25">
      <c r="A8" s="221" t="s">
        <v>6</v>
      </c>
      <c r="B8" s="276" t="str">
        <f>Summary!B8</f>
        <v xml:space="preserve">Charlotte, NC </v>
      </c>
      <c r="C8" s="276"/>
    </row>
    <row r="10" spans="1:6" x14ac:dyDescent="0.25">
      <c r="A10" s="251" t="s">
        <v>75</v>
      </c>
      <c r="B10" s="252" t="s">
        <v>76</v>
      </c>
      <c r="C10" s="252" t="s">
        <v>77</v>
      </c>
      <c r="D10" s="252"/>
      <c r="E10" s="252"/>
      <c r="F10" s="266" t="s">
        <v>78</v>
      </c>
    </row>
    <row r="11" spans="1:6" x14ac:dyDescent="0.25">
      <c r="A11" s="226">
        <f>Summary!D11</f>
        <v>12</v>
      </c>
      <c r="B11" s="233">
        <v>5</v>
      </c>
      <c r="C11" s="226" t="s">
        <v>1850</v>
      </c>
      <c r="D11" s="226"/>
      <c r="E11" s="267"/>
      <c r="F11" s="233">
        <f t="shared" ref="F11:F14" si="0">A11*B11</f>
        <v>60</v>
      </c>
    </row>
    <row r="12" spans="1:6" x14ac:dyDescent="0.25">
      <c r="A12" s="226">
        <v>3</v>
      </c>
      <c r="B12" s="233">
        <v>65</v>
      </c>
      <c r="C12" s="226" t="s">
        <v>1851</v>
      </c>
      <c r="D12" s="226"/>
      <c r="E12" s="267"/>
      <c r="F12" s="233">
        <f t="shared" si="0"/>
        <v>195</v>
      </c>
    </row>
    <row r="13" spans="1:6" x14ac:dyDescent="0.25">
      <c r="A13" s="226">
        <v>20</v>
      </c>
      <c r="B13" s="233">
        <v>40</v>
      </c>
      <c r="C13" s="226" t="s">
        <v>1852</v>
      </c>
      <c r="D13" s="226"/>
      <c r="E13" s="267"/>
      <c r="F13" s="233">
        <f t="shared" si="0"/>
        <v>800</v>
      </c>
    </row>
    <row r="14" spans="1:6" x14ac:dyDescent="0.25">
      <c r="A14" s="226">
        <v>4</v>
      </c>
      <c r="B14" s="233">
        <v>60</v>
      </c>
      <c r="C14" s="226" t="s">
        <v>1853</v>
      </c>
      <c r="D14" s="226"/>
      <c r="E14" s="267"/>
      <c r="F14" s="233">
        <f t="shared" si="0"/>
        <v>240</v>
      </c>
    </row>
    <row r="15" spans="1:6" x14ac:dyDescent="0.25">
      <c r="A15" s="226">
        <v>3</v>
      </c>
      <c r="B15" s="231">
        <v>30</v>
      </c>
      <c r="C15" s="226" t="s">
        <v>141</v>
      </c>
      <c r="D15" s="226"/>
      <c r="E15" s="267"/>
      <c r="F15" s="233">
        <f>A15*B15</f>
        <v>90</v>
      </c>
    </row>
    <row r="16" spans="1:6" x14ac:dyDescent="0.25">
      <c r="A16" s="226">
        <v>5</v>
      </c>
      <c r="B16" s="231">
        <v>30</v>
      </c>
      <c r="C16" s="226" t="s">
        <v>142</v>
      </c>
      <c r="D16" s="226"/>
      <c r="E16" s="267"/>
      <c r="F16" s="233">
        <f>A16*B16</f>
        <v>150</v>
      </c>
    </row>
    <row r="17" spans="1:6" x14ac:dyDescent="0.25">
      <c r="A17" s="226"/>
      <c r="B17" s="226"/>
      <c r="C17" s="226"/>
      <c r="D17" s="226"/>
      <c r="E17" s="267"/>
      <c r="F17" s="226"/>
    </row>
    <row r="18" spans="1:6" x14ac:dyDescent="0.25">
      <c r="A18" s="226"/>
      <c r="B18" s="231">
        <v>50</v>
      </c>
      <c r="C18" s="226" t="s">
        <v>143</v>
      </c>
      <c r="D18" s="226"/>
      <c r="E18" s="267"/>
      <c r="F18" s="233">
        <f t="shared" ref="F18:F35" si="1">A18*B18</f>
        <v>0</v>
      </c>
    </row>
    <row r="19" spans="1:6" x14ac:dyDescent="0.25">
      <c r="A19" s="226">
        <v>5</v>
      </c>
      <c r="B19" s="231">
        <v>15</v>
      </c>
      <c r="C19" s="226" t="s">
        <v>144</v>
      </c>
      <c r="D19" s="226"/>
      <c r="E19" s="267"/>
      <c r="F19" s="233">
        <f t="shared" si="1"/>
        <v>75</v>
      </c>
    </row>
    <row r="20" spans="1:6" x14ac:dyDescent="0.25">
      <c r="A20" s="226">
        <v>2</v>
      </c>
      <c r="B20" s="231">
        <v>30</v>
      </c>
      <c r="C20" s="226" t="s">
        <v>145</v>
      </c>
      <c r="D20" s="226"/>
      <c r="E20" s="267"/>
      <c r="F20" s="233">
        <f t="shared" si="1"/>
        <v>60</v>
      </c>
    </row>
    <row r="21" spans="1:6" x14ac:dyDescent="0.25">
      <c r="A21" s="226">
        <v>5</v>
      </c>
      <c r="B21" s="231">
        <v>30</v>
      </c>
      <c r="C21" s="226" t="s">
        <v>146</v>
      </c>
      <c r="D21" s="226"/>
      <c r="E21" s="267"/>
      <c r="F21" s="233">
        <f t="shared" si="1"/>
        <v>150</v>
      </c>
    </row>
    <row r="22" spans="1:6" x14ac:dyDescent="0.25">
      <c r="A22" s="226"/>
      <c r="B22" s="231"/>
      <c r="C22" s="226"/>
      <c r="D22" s="226"/>
      <c r="E22" s="267"/>
      <c r="F22" s="233">
        <f t="shared" si="1"/>
        <v>0</v>
      </c>
    </row>
    <row r="23" spans="1:6" x14ac:dyDescent="0.25">
      <c r="A23" s="226">
        <v>7</v>
      </c>
      <c r="B23" s="231">
        <v>50</v>
      </c>
      <c r="C23" s="226" t="s">
        <v>147</v>
      </c>
      <c r="D23" s="226"/>
      <c r="E23" s="267"/>
      <c r="F23" s="233">
        <f t="shared" si="1"/>
        <v>350</v>
      </c>
    </row>
    <row r="24" spans="1:6" x14ac:dyDescent="0.25">
      <c r="A24" s="226"/>
      <c r="B24" s="231"/>
      <c r="C24" s="226"/>
      <c r="D24" s="226"/>
      <c r="E24" s="267"/>
      <c r="F24" s="233">
        <f t="shared" si="1"/>
        <v>0</v>
      </c>
    </row>
    <row r="25" spans="1:6" x14ac:dyDescent="0.25">
      <c r="A25" s="226">
        <v>5</v>
      </c>
      <c r="B25" s="231">
        <v>25</v>
      </c>
      <c r="C25" s="226" t="s">
        <v>148</v>
      </c>
      <c r="D25" s="226"/>
      <c r="E25" s="267"/>
      <c r="F25" s="233">
        <f t="shared" si="1"/>
        <v>125</v>
      </c>
    </row>
    <row r="26" spans="1:6" x14ac:dyDescent="0.25">
      <c r="A26" s="226">
        <v>8</v>
      </c>
      <c r="B26" s="231">
        <v>50</v>
      </c>
      <c r="C26" s="226" t="s">
        <v>149</v>
      </c>
      <c r="D26" s="226"/>
      <c r="E26" s="267"/>
      <c r="F26" s="233">
        <f t="shared" si="1"/>
        <v>400</v>
      </c>
    </row>
    <row r="27" spans="1:6" x14ac:dyDescent="0.25">
      <c r="A27" s="226">
        <v>7</v>
      </c>
      <c r="B27" s="231">
        <v>100</v>
      </c>
      <c r="C27" s="226" t="s">
        <v>150</v>
      </c>
      <c r="D27" s="226"/>
      <c r="E27" s="267"/>
      <c r="F27" s="233">
        <f t="shared" si="1"/>
        <v>700</v>
      </c>
    </row>
    <row r="28" spans="1:6" x14ac:dyDescent="0.25">
      <c r="A28" s="226"/>
      <c r="B28" s="231"/>
      <c r="C28" s="226"/>
      <c r="D28" s="226"/>
      <c r="E28" s="267"/>
      <c r="F28" s="233">
        <f t="shared" si="1"/>
        <v>0</v>
      </c>
    </row>
    <row r="29" spans="1:6" x14ac:dyDescent="0.25">
      <c r="A29" s="226">
        <v>4</v>
      </c>
      <c r="B29" s="231">
        <v>30</v>
      </c>
      <c r="C29" s="226" t="s">
        <v>151</v>
      </c>
      <c r="D29" s="226"/>
      <c r="E29" s="267"/>
      <c r="F29" s="233">
        <f t="shared" si="1"/>
        <v>120</v>
      </c>
    </row>
    <row r="30" spans="1:6" x14ac:dyDescent="0.25">
      <c r="A30" s="226"/>
      <c r="B30" s="231"/>
      <c r="C30" s="226"/>
      <c r="D30" s="226"/>
      <c r="E30" s="267"/>
      <c r="F30" s="233">
        <f t="shared" si="1"/>
        <v>0</v>
      </c>
    </row>
    <row r="31" spans="1:6" x14ac:dyDescent="0.25">
      <c r="A31" s="226"/>
      <c r="B31" s="231">
        <v>50</v>
      </c>
      <c r="C31" s="226" t="s">
        <v>137</v>
      </c>
      <c r="D31" s="226"/>
      <c r="E31" s="267"/>
      <c r="F31" s="233">
        <f>A31*B31</f>
        <v>0</v>
      </c>
    </row>
    <row r="32" spans="1:6" x14ac:dyDescent="0.25">
      <c r="A32" s="226"/>
      <c r="B32" s="231">
        <v>25</v>
      </c>
      <c r="C32" s="226" t="s">
        <v>153</v>
      </c>
      <c r="D32" s="226"/>
      <c r="E32" s="267"/>
      <c r="F32" s="233">
        <f>A32*B32</f>
        <v>0</v>
      </c>
    </row>
    <row r="33" spans="1:6" x14ac:dyDescent="0.25">
      <c r="A33" s="226"/>
      <c r="B33" s="231">
        <v>75</v>
      </c>
      <c r="C33" s="226" t="s">
        <v>154</v>
      </c>
      <c r="D33" s="226"/>
      <c r="E33" s="267"/>
      <c r="F33" s="233">
        <f>A33*B33</f>
        <v>0</v>
      </c>
    </row>
    <row r="34" spans="1:6" x14ac:dyDescent="0.25">
      <c r="A34" s="226"/>
      <c r="B34" s="231">
        <v>55</v>
      </c>
      <c r="C34" s="226" t="s">
        <v>109</v>
      </c>
      <c r="D34" s="226"/>
      <c r="E34" s="267"/>
      <c r="F34" s="233">
        <f t="shared" si="1"/>
        <v>0</v>
      </c>
    </row>
    <row r="35" spans="1:6" x14ac:dyDescent="0.25">
      <c r="A35" s="226"/>
      <c r="B35" s="231">
        <v>50</v>
      </c>
      <c r="C35" s="226" t="s">
        <v>152</v>
      </c>
      <c r="D35" s="226"/>
      <c r="E35" s="267"/>
      <c r="F35" s="233">
        <f t="shared" si="1"/>
        <v>0</v>
      </c>
    </row>
    <row r="36" spans="1:6" x14ac:dyDescent="0.25">
      <c r="A36" s="226"/>
      <c r="B36" s="226"/>
      <c r="C36" s="226"/>
      <c r="D36" s="226"/>
      <c r="E36" s="267"/>
      <c r="F36" s="226"/>
    </row>
    <row r="38" spans="1:6" x14ac:dyDescent="0.25">
      <c r="E38" t="s">
        <v>112</v>
      </c>
      <c r="F38" s="62">
        <f>SUM(F11:F37)</f>
        <v>3515</v>
      </c>
    </row>
    <row r="40" spans="1:6" x14ac:dyDescent="0.25">
      <c r="E40" s="221">
        <v>0</v>
      </c>
      <c r="F40" s="221" t="s">
        <v>291</v>
      </c>
    </row>
    <row r="41" spans="1:6" x14ac:dyDescent="0.25">
      <c r="E41" s="221">
        <v>2</v>
      </c>
      <c r="F41" s="221" t="s">
        <v>1854</v>
      </c>
    </row>
    <row r="42" spans="1:6" x14ac:dyDescent="0.25">
      <c r="E42" s="221">
        <v>1</v>
      </c>
      <c r="F42" s="221" t="s">
        <v>1855</v>
      </c>
    </row>
    <row r="43" spans="1:6" x14ac:dyDescent="0.25">
      <c r="E43" s="221">
        <v>2</v>
      </c>
      <c r="F43" s="221" t="s">
        <v>1856</v>
      </c>
    </row>
    <row r="44" spans="1:6" x14ac:dyDescent="0.25">
      <c r="E44" s="221">
        <v>4</v>
      </c>
      <c r="F44" s="221" t="s">
        <v>1857</v>
      </c>
    </row>
    <row r="45" spans="1:6" x14ac:dyDescent="0.25">
      <c r="E45" s="221">
        <v>1</v>
      </c>
      <c r="F45" s="221" t="s">
        <v>1858</v>
      </c>
    </row>
    <row r="46" spans="1:6" x14ac:dyDescent="0.25">
      <c r="E46" s="221">
        <v>2</v>
      </c>
      <c r="F46" s="221" t="s">
        <v>1859</v>
      </c>
    </row>
    <row r="47" spans="1:6" x14ac:dyDescent="0.25">
      <c r="E47" s="221">
        <v>1</v>
      </c>
      <c r="F47" s="221" t="s">
        <v>293</v>
      </c>
    </row>
    <row r="48" spans="1:6" x14ac:dyDescent="0.25">
      <c r="F48" s="221" t="s">
        <v>289</v>
      </c>
    </row>
    <row r="49" spans="1:6" x14ac:dyDescent="0.25">
      <c r="E49" s="221">
        <v>3</v>
      </c>
      <c r="F49" s="221" t="s">
        <v>1860</v>
      </c>
    </row>
    <row r="50" spans="1:6" x14ac:dyDescent="0.25">
      <c r="E50" s="221">
        <v>1</v>
      </c>
      <c r="F50" s="221" t="s">
        <v>1861</v>
      </c>
    </row>
    <row r="51" spans="1:6" x14ac:dyDescent="0.25">
      <c r="E51" s="221">
        <v>7</v>
      </c>
      <c r="F51" s="221" t="s">
        <v>1862</v>
      </c>
    </row>
    <row r="52" spans="1:6" x14ac:dyDescent="0.25">
      <c r="E52" s="268"/>
    </row>
    <row r="53" spans="1:6" x14ac:dyDescent="0.25">
      <c r="A53" s="226"/>
      <c r="B53" s="226"/>
      <c r="C53" s="226"/>
      <c r="D53" s="226"/>
      <c r="E53" s="241"/>
      <c r="F53" s="226"/>
    </row>
    <row r="54" spans="1:6" x14ac:dyDescent="0.25">
      <c r="A54" s="226"/>
      <c r="B54" s="226"/>
      <c r="C54" s="226"/>
      <c r="D54" s="226"/>
      <c r="E54" s="241"/>
      <c r="F54" s="226"/>
    </row>
    <row r="55" spans="1:6" x14ac:dyDescent="0.25">
      <c r="A55" s="226"/>
      <c r="B55" s="226"/>
      <c r="C55" s="226"/>
      <c r="D55" s="226"/>
      <c r="E55" s="241"/>
      <c r="F55" s="226"/>
    </row>
    <row r="56" spans="1:6" x14ac:dyDescent="0.25">
      <c r="A56" s="226"/>
      <c r="B56" s="226"/>
      <c r="C56" s="226"/>
      <c r="D56" s="226"/>
      <c r="E56" s="241"/>
      <c r="F56" s="226"/>
    </row>
    <row r="57" spans="1:6" x14ac:dyDescent="0.25">
      <c r="A57" s="226"/>
      <c r="B57" s="226"/>
      <c r="C57" s="226"/>
      <c r="D57" s="226"/>
      <c r="E57" s="241"/>
      <c r="F57" s="226"/>
    </row>
    <row r="58" spans="1:6" x14ac:dyDescent="0.25">
      <c r="A58" s="226"/>
      <c r="B58" s="226"/>
      <c r="C58" s="226"/>
      <c r="D58" s="226"/>
      <c r="E58" s="241"/>
      <c r="F58" s="226"/>
    </row>
    <row r="59" spans="1:6" x14ac:dyDescent="0.25">
      <c r="A59" s="226"/>
      <c r="B59" s="226"/>
      <c r="C59" s="226"/>
      <c r="D59" s="226"/>
      <c r="E59" s="241"/>
      <c r="F59" s="226"/>
    </row>
    <row r="60" spans="1:6" x14ac:dyDescent="0.25">
      <c r="A60" s="226"/>
      <c r="B60" s="226"/>
      <c r="C60" s="226"/>
      <c r="D60" s="226"/>
      <c r="E60" s="241"/>
      <c r="F60" s="226"/>
    </row>
    <row r="61" spans="1:6" x14ac:dyDescent="0.25">
      <c r="A61" s="226"/>
      <c r="B61" s="226"/>
      <c r="C61" s="226"/>
      <c r="D61" s="226"/>
      <c r="E61" s="241"/>
      <c r="F61" s="226"/>
    </row>
    <row r="62" spans="1:6" x14ac:dyDescent="0.25">
      <c r="A62" s="226"/>
      <c r="B62" s="226"/>
      <c r="C62" s="226"/>
      <c r="D62" s="226"/>
      <c r="E62" s="241"/>
      <c r="F62" s="226"/>
    </row>
    <row r="63" spans="1:6" x14ac:dyDescent="0.25">
      <c r="A63" s="226"/>
      <c r="B63" s="226"/>
      <c r="C63" s="226"/>
      <c r="D63" s="226"/>
      <c r="E63" s="241"/>
      <c r="F63" s="226"/>
    </row>
    <row r="64" spans="1:6" x14ac:dyDescent="0.25">
      <c r="A64" s="226"/>
      <c r="B64" s="226"/>
      <c r="C64" s="226"/>
      <c r="D64" s="226"/>
      <c r="E64" s="241"/>
      <c r="F64" s="226"/>
    </row>
    <row r="65" spans="1:6" x14ac:dyDescent="0.25">
      <c r="A65" s="226"/>
      <c r="B65" s="226"/>
      <c r="C65" s="226"/>
      <c r="D65" s="226"/>
      <c r="E65" s="241"/>
      <c r="F65" s="226"/>
    </row>
    <row r="66" spans="1:6" x14ac:dyDescent="0.25">
      <c r="A66" s="226"/>
      <c r="B66" s="226"/>
      <c r="C66" s="226"/>
      <c r="D66" s="226"/>
      <c r="E66" s="241"/>
      <c r="F66" s="226"/>
    </row>
    <row r="67" spans="1:6" x14ac:dyDescent="0.25">
      <c r="A67" s="226"/>
      <c r="B67" s="226"/>
      <c r="C67" s="226"/>
      <c r="D67" s="226"/>
      <c r="E67" s="241"/>
      <c r="F67" s="226"/>
    </row>
    <row r="68" spans="1:6" x14ac:dyDescent="0.25">
      <c r="A68" s="226"/>
      <c r="B68" s="226"/>
      <c r="C68" s="226"/>
      <c r="D68" s="226"/>
      <c r="E68" s="241"/>
      <c r="F68" s="226"/>
    </row>
    <row r="69" spans="1:6" x14ac:dyDescent="0.25">
      <c r="A69" s="226"/>
      <c r="B69" s="226"/>
      <c r="C69" s="226"/>
      <c r="D69" s="226"/>
      <c r="E69" s="241"/>
      <c r="F69" s="226"/>
    </row>
    <row r="70" spans="1:6" x14ac:dyDescent="0.25">
      <c r="A70" s="226"/>
      <c r="B70" s="226"/>
      <c r="C70" s="226"/>
      <c r="D70" s="226"/>
      <c r="E70" s="241"/>
      <c r="F70" s="226"/>
    </row>
    <row r="71" spans="1:6" x14ac:dyDescent="0.25">
      <c r="A71" s="226"/>
      <c r="B71" s="226"/>
      <c r="C71" s="226"/>
      <c r="D71" s="226"/>
      <c r="E71" s="241"/>
      <c r="F71" s="226"/>
    </row>
    <row r="72" spans="1:6" x14ac:dyDescent="0.25">
      <c r="A72" s="226"/>
      <c r="B72" s="226"/>
      <c r="C72" s="226"/>
      <c r="D72" s="226"/>
      <c r="E72" s="241"/>
      <c r="F72" s="226"/>
    </row>
    <row r="73" spans="1:6" x14ac:dyDescent="0.25">
      <c r="A73" s="226"/>
      <c r="B73" s="226"/>
      <c r="C73" s="226"/>
      <c r="D73" s="226"/>
      <c r="E73" s="241"/>
      <c r="F73" s="226"/>
    </row>
    <row r="74" spans="1:6" x14ac:dyDescent="0.25">
      <c r="A74" s="226"/>
      <c r="B74" s="226"/>
      <c r="C74" s="226"/>
      <c r="D74" s="226"/>
      <c r="E74" s="241"/>
      <c r="F74" s="226"/>
    </row>
    <row r="75" spans="1:6" x14ac:dyDescent="0.25">
      <c r="A75" s="226"/>
      <c r="B75" s="226" t="s">
        <v>1753</v>
      </c>
      <c r="C75" s="226"/>
      <c r="D75" s="226"/>
      <c r="E75" s="241"/>
      <c r="F75" s="226"/>
    </row>
    <row r="76" spans="1:6" x14ac:dyDescent="0.25">
      <c r="A76" s="226"/>
      <c r="B76" s="226"/>
      <c r="C76" s="226"/>
      <c r="D76" s="226"/>
      <c r="E76" s="241"/>
      <c r="F76" s="226"/>
    </row>
    <row r="77" spans="1:6" x14ac:dyDescent="0.25">
      <c r="A77" s="226"/>
      <c r="B77" s="226" t="s">
        <v>1754</v>
      </c>
      <c r="C77" s="226"/>
      <c r="D77" s="226"/>
      <c r="E77" s="241"/>
      <c r="F77" s="226"/>
    </row>
    <row r="78" spans="1:6" x14ac:dyDescent="0.25">
      <c r="A78" s="226"/>
      <c r="B78" s="226"/>
      <c r="C78" s="226"/>
      <c r="D78" s="226"/>
      <c r="E78" s="241"/>
      <c r="F78" s="226"/>
    </row>
    <row r="79" spans="1:6" x14ac:dyDescent="0.25">
      <c r="A79" s="226"/>
      <c r="B79" s="226"/>
      <c r="C79" s="226"/>
      <c r="D79" s="226"/>
      <c r="E79" s="241"/>
      <c r="F79" s="226"/>
    </row>
    <row r="80" spans="1:6" x14ac:dyDescent="0.25">
      <c r="A80" s="226"/>
      <c r="B80" s="226"/>
      <c r="C80" s="226"/>
      <c r="D80" s="226"/>
      <c r="E80" s="241"/>
      <c r="F80" s="226"/>
    </row>
    <row r="81" spans="1:6" x14ac:dyDescent="0.25">
      <c r="A81" s="226"/>
      <c r="B81" s="226"/>
      <c r="C81" s="226"/>
      <c r="D81" s="226"/>
      <c r="E81" s="241"/>
      <c r="F81" s="226"/>
    </row>
    <row r="82" spans="1:6" x14ac:dyDescent="0.25">
      <c r="A82" s="226"/>
      <c r="B82" s="226"/>
      <c r="C82" s="226"/>
      <c r="D82" s="226"/>
      <c r="E82" s="241"/>
      <c r="F82" s="226"/>
    </row>
    <row r="83" spans="1:6" x14ac:dyDescent="0.25">
      <c r="A83" s="226"/>
      <c r="B83" s="226"/>
      <c r="C83" s="226"/>
      <c r="D83" s="226"/>
      <c r="E83" s="241"/>
      <c r="F83" s="226"/>
    </row>
    <row r="84" spans="1:6" x14ac:dyDescent="0.25">
      <c r="A84" s="226"/>
      <c r="B84" s="226"/>
      <c r="C84" s="226"/>
      <c r="D84" s="226"/>
      <c r="E84" s="241"/>
      <c r="F84" s="226"/>
    </row>
    <row r="85" spans="1:6" x14ac:dyDescent="0.25">
      <c r="A85" s="226"/>
      <c r="B85" s="226"/>
      <c r="C85" s="226"/>
      <c r="D85" s="226"/>
      <c r="E85" s="241"/>
      <c r="F85" s="226"/>
    </row>
    <row r="86" spans="1:6" x14ac:dyDescent="0.25">
      <c r="A86" s="226"/>
      <c r="B86" s="226"/>
      <c r="C86" s="226"/>
      <c r="D86" s="226"/>
      <c r="E86" s="241"/>
      <c r="F86" s="226"/>
    </row>
    <row r="87" spans="1:6" x14ac:dyDescent="0.25">
      <c r="A87" s="226"/>
      <c r="B87" s="226"/>
      <c r="C87" s="226"/>
      <c r="D87" s="226"/>
      <c r="E87" s="241"/>
      <c r="F87" s="226"/>
    </row>
    <row r="88" spans="1:6" x14ac:dyDescent="0.25">
      <c r="A88" s="226"/>
      <c r="B88" s="226"/>
      <c r="C88" s="226"/>
      <c r="D88" s="226"/>
      <c r="E88" s="241"/>
      <c r="F88" s="226"/>
    </row>
    <row r="89" spans="1:6" x14ac:dyDescent="0.25">
      <c r="A89" s="226"/>
      <c r="B89" s="226"/>
      <c r="C89" s="226"/>
      <c r="D89" s="226"/>
      <c r="E89" s="241"/>
      <c r="F89" s="226"/>
    </row>
    <row r="90" spans="1:6" x14ac:dyDescent="0.25">
      <c r="A90" s="226"/>
      <c r="B90" s="226"/>
      <c r="C90" s="226"/>
      <c r="D90" s="226"/>
      <c r="E90" s="241"/>
      <c r="F90" s="226"/>
    </row>
    <row r="91" spans="1:6" x14ac:dyDescent="0.25">
      <c r="A91" s="226"/>
      <c r="B91" s="226"/>
      <c r="C91" s="226"/>
      <c r="D91" s="226"/>
      <c r="E91" s="241"/>
      <c r="F91" s="226"/>
    </row>
    <row r="92" spans="1:6" x14ac:dyDescent="0.25">
      <c r="A92" s="226"/>
      <c r="B92" s="226"/>
      <c r="C92" s="226"/>
      <c r="D92" s="226"/>
      <c r="E92" s="241"/>
      <c r="F92" s="226"/>
    </row>
    <row r="93" spans="1:6" x14ac:dyDescent="0.25">
      <c r="A93" s="226"/>
      <c r="B93" s="226"/>
      <c r="C93" s="226"/>
      <c r="D93" s="226"/>
      <c r="E93" s="241"/>
      <c r="F93" s="226"/>
    </row>
    <row r="94" spans="1:6" x14ac:dyDescent="0.25">
      <c r="A94" s="226"/>
      <c r="B94" s="226"/>
      <c r="C94" s="226"/>
      <c r="D94" s="226"/>
      <c r="E94" s="241"/>
      <c r="F94" s="226"/>
    </row>
    <row r="95" spans="1:6" x14ac:dyDescent="0.25">
      <c r="A95" s="226"/>
      <c r="B95" s="226"/>
      <c r="C95" s="226"/>
      <c r="D95" s="226"/>
      <c r="E95" s="241"/>
      <c r="F95" s="226"/>
    </row>
    <row r="96" spans="1:6" x14ac:dyDescent="0.25">
      <c r="A96" s="226"/>
      <c r="B96" s="226"/>
      <c r="C96" s="226"/>
      <c r="D96" s="226"/>
      <c r="E96" s="241"/>
      <c r="F96" s="226"/>
    </row>
    <row r="97" spans="1:6" x14ac:dyDescent="0.25">
      <c r="A97" s="226"/>
      <c r="B97" s="226"/>
      <c r="C97" s="226"/>
      <c r="D97" s="226"/>
      <c r="E97" s="241"/>
      <c r="F97" s="226"/>
    </row>
    <row r="98" spans="1:6" x14ac:dyDescent="0.25">
      <c r="A98" s="226"/>
      <c r="B98" s="226"/>
      <c r="C98" s="226"/>
      <c r="D98" s="226"/>
      <c r="E98" s="241"/>
      <c r="F98" s="226"/>
    </row>
    <row r="99" spans="1:6" x14ac:dyDescent="0.25">
      <c r="A99" s="226"/>
      <c r="B99" s="226"/>
      <c r="C99" s="226"/>
      <c r="D99" s="226"/>
      <c r="E99" s="241"/>
      <c r="F99" s="226"/>
    </row>
    <row r="100" spans="1:6" x14ac:dyDescent="0.25">
      <c r="A100" s="226"/>
      <c r="B100" s="226"/>
      <c r="C100" s="226"/>
      <c r="D100" s="226"/>
      <c r="E100" s="241"/>
      <c r="F100" s="226"/>
    </row>
    <row r="101" spans="1:6" x14ac:dyDescent="0.25">
      <c r="A101" s="226"/>
      <c r="B101" s="226"/>
      <c r="C101" s="226"/>
      <c r="D101" s="226"/>
      <c r="E101" s="241"/>
      <c r="F101" s="226"/>
    </row>
    <row r="102" spans="1:6" x14ac:dyDescent="0.25">
      <c r="A102" s="226"/>
      <c r="B102" s="226"/>
      <c r="C102" s="226"/>
      <c r="D102" s="226"/>
      <c r="E102" s="241"/>
      <c r="F102" s="226"/>
    </row>
    <row r="103" spans="1:6" x14ac:dyDescent="0.25">
      <c r="A103" s="226"/>
      <c r="B103" s="226"/>
      <c r="C103" s="226"/>
      <c r="D103" s="226"/>
      <c r="E103" s="241"/>
      <c r="F103" s="226"/>
    </row>
    <row r="104" spans="1:6" x14ac:dyDescent="0.25">
      <c r="A104" s="226"/>
      <c r="B104" s="226"/>
      <c r="C104" s="226"/>
      <c r="D104" s="226"/>
      <c r="E104" s="241"/>
      <c r="F104" s="226"/>
    </row>
    <row r="105" spans="1:6" x14ac:dyDescent="0.25">
      <c r="A105" s="226"/>
      <c r="B105" s="226"/>
      <c r="C105" s="226"/>
      <c r="D105" s="226"/>
      <c r="E105" s="241"/>
      <c r="F105" s="226"/>
    </row>
    <row r="106" spans="1:6" x14ac:dyDescent="0.25">
      <c r="A106" s="226"/>
      <c r="B106" s="226"/>
      <c r="C106" s="226"/>
      <c r="D106" s="226"/>
      <c r="E106" s="241"/>
      <c r="F106" s="226"/>
    </row>
    <row r="107" spans="1:6" x14ac:dyDescent="0.25">
      <c r="A107" s="226"/>
      <c r="B107" s="226"/>
      <c r="C107" s="226"/>
      <c r="D107" s="226"/>
      <c r="E107" s="241"/>
      <c r="F107" s="226"/>
    </row>
    <row r="108" spans="1:6" x14ac:dyDescent="0.25">
      <c r="A108" s="226"/>
      <c r="B108" s="226"/>
      <c r="C108" s="226"/>
      <c r="D108" s="226"/>
      <c r="E108" s="241"/>
      <c r="F108" s="226"/>
    </row>
    <row r="109" spans="1:6" x14ac:dyDescent="0.25">
      <c r="A109" s="226"/>
      <c r="B109" s="226"/>
      <c r="C109" s="226"/>
      <c r="D109" s="226"/>
      <c r="E109" s="241"/>
      <c r="F109" s="226"/>
    </row>
    <row r="110" spans="1:6" x14ac:dyDescent="0.25">
      <c r="A110" s="226"/>
      <c r="B110" s="226"/>
      <c r="C110" s="226"/>
      <c r="D110" s="226"/>
      <c r="E110" s="241"/>
      <c r="F110" s="226"/>
    </row>
    <row r="111" spans="1:6" x14ac:dyDescent="0.25">
      <c r="A111" s="226"/>
      <c r="B111" s="226"/>
      <c r="C111" s="226"/>
      <c r="D111" s="226"/>
      <c r="E111" s="241"/>
      <c r="F111" s="226"/>
    </row>
    <row r="112" spans="1:6" x14ac:dyDescent="0.25">
      <c r="A112" s="226"/>
      <c r="B112" s="226"/>
      <c r="C112" s="226"/>
      <c r="D112" s="226"/>
      <c r="E112" s="241"/>
      <c r="F112" s="226"/>
    </row>
    <row r="113" spans="1:6" x14ac:dyDescent="0.25">
      <c r="A113" s="226"/>
      <c r="B113" s="226"/>
      <c r="C113" s="226"/>
      <c r="D113" s="226"/>
      <c r="E113" s="241"/>
      <c r="F113" s="226"/>
    </row>
    <row r="114" spans="1:6" x14ac:dyDescent="0.25">
      <c r="A114" s="226"/>
      <c r="B114" s="226"/>
      <c r="C114" s="226"/>
      <c r="D114" s="226"/>
      <c r="E114" s="241"/>
      <c r="F114" s="226"/>
    </row>
    <row r="115" spans="1:6" x14ac:dyDescent="0.25">
      <c r="A115" s="226"/>
      <c r="B115" s="226"/>
      <c r="C115" s="226"/>
      <c r="D115" s="226"/>
      <c r="E115" s="241"/>
      <c r="F115" s="226"/>
    </row>
    <row r="116" spans="1:6" x14ac:dyDescent="0.25">
      <c r="A116" s="226"/>
      <c r="B116" s="226"/>
      <c r="C116" s="226"/>
      <c r="D116" s="226"/>
      <c r="E116" s="241"/>
      <c r="F116" s="226"/>
    </row>
    <row r="117" spans="1:6" x14ac:dyDescent="0.25">
      <c r="A117" s="226"/>
      <c r="B117" s="226"/>
      <c r="C117" s="226"/>
      <c r="D117" s="226"/>
      <c r="E117" s="241"/>
      <c r="F117" s="226"/>
    </row>
    <row r="118" spans="1:6" x14ac:dyDescent="0.25">
      <c r="A118" s="226"/>
      <c r="B118" s="226"/>
      <c r="C118" s="226"/>
      <c r="D118" s="226"/>
      <c r="E118" s="241"/>
      <c r="F118" s="226"/>
    </row>
    <row r="119" spans="1:6" x14ac:dyDescent="0.25">
      <c r="A119" s="226"/>
      <c r="B119" s="226"/>
      <c r="C119" s="226"/>
      <c r="D119" s="226"/>
      <c r="E119" s="241"/>
      <c r="F119" s="226"/>
    </row>
    <row r="120" spans="1:6" x14ac:dyDescent="0.25">
      <c r="A120" s="226"/>
      <c r="B120" s="226"/>
      <c r="C120" s="226"/>
      <c r="D120" s="226"/>
      <c r="E120" s="241"/>
      <c r="F120" s="226"/>
    </row>
    <row r="121" spans="1:6" x14ac:dyDescent="0.25">
      <c r="A121" s="226"/>
      <c r="B121" s="226"/>
      <c r="C121" s="226"/>
      <c r="D121" s="226"/>
      <c r="E121" s="241"/>
      <c r="F121" s="226"/>
    </row>
    <row r="122" spans="1:6" x14ac:dyDescent="0.25">
      <c r="A122" s="226"/>
      <c r="B122" s="226"/>
      <c r="C122" s="226"/>
      <c r="D122" s="226"/>
      <c r="E122" s="241"/>
      <c r="F122" s="226"/>
    </row>
    <row r="123" spans="1:6" x14ac:dyDescent="0.25">
      <c r="A123" s="226"/>
      <c r="B123" s="226"/>
      <c r="C123" s="226"/>
      <c r="D123" s="226"/>
      <c r="E123" s="241"/>
      <c r="F123" s="226"/>
    </row>
    <row r="124" spans="1:6" x14ac:dyDescent="0.25">
      <c r="A124" s="226"/>
      <c r="B124" s="226"/>
      <c r="C124" s="226"/>
      <c r="D124" s="226"/>
      <c r="E124" s="241"/>
      <c r="F124" s="226"/>
    </row>
    <row r="125" spans="1:6" x14ac:dyDescent="0.25">
      <c r="A125" s="226"/>
      <c r="B125" s="226"/>
      <c r="C125" s="226"/>
      <c r="D125" s="226"/>
      <c r="E125" s="241"/>
      <c r="F125" s="226"/>
    </row>
    <row r="126" spans="1:6" x14ac:dyDescent="0.25">
      <c r="A126" s="226"/>
      <c r="B126" s="226"/>
      <c r="C126" s="226"/>
      <c r="D126" s="226"/>
      <c r="E126" s="241"/>
      <c r="F126" s="226"/>
    </row>
    <row r="127" spans="1:6" x14ac:dyDescent="0.25">
      <c r="A127" s="226"/>
      <c r="B127" s="226"/>
      <c r="C127" s="226"/>
      <c r="D127" s="226"/>
      <c r="E127" s="241"/>
      <c r="F127" s="226"/>
    </row>
    <row r="128" spans="1:6" x14ac:dyDescent="0.25">
      <c r="A128" s="226"/>
      <c r="B128" s="226"/>
      <c r="C128" s="226"/>
      <c r="D128" s="226"/>
      <c r="E128" s="241"/>
      <c r="F128" s="226"/>
    </row>
    <row r="129" spans="1:6" x14ac:dyDescent="0.25">
      <c r="A129" s="226"/>
      <c r="B129" s="226"/>
      <c r="C129" s="226"/>
      <c r="D129" s="226"/>
      <c r="E129" s="241"/>
      <c r="F129" s="226"/>
    </row>
    <row r="130" spans="1:6" x14ac:dyDescent="0.25">
      <c r="A130" s="226"/>
      <c r="B130" s="226"/>
      <c r="C130" s="226"/>
      <c r="D130" s="226"/>
      <c r="E130" s="241"/>
      <c r="F130" s="226"/>
    </row>
    <row r="131" spans="1:6" x14ac:dyDescent="0.25">
      <c r="A131" s="226"/>
      <c r="B131" s="226"/>
      <c r="C131" s="226"/>
      <c r="D131" s="226"/>
      <c r="E131" s="241"/>
      <c r="F131" s="226"/>
    </row>
    <row r="132" spans="1:6" x14ac:dyDescent="0.25">
      <c r="A132" s="226"/>
      <c r="B132" s="226"/>
      <c r="C132" s="226"/>
      <c r="D132" s="226"/>
      <c r="E132" s="241"/>
      <c r="F132" s="226"/>
    </row>
    <row r="133" spans="1:6" x14ac:dyDescent="0.25">
      <c r="A133" s="226"/>
      <c r="B133" s="226"/>
      <c r="C133" s="226"/>
      <c r="D133" s="226"/>
      <c r="E133" s="241"/>
      <c r="F133" s="226"/>
    </row>
    <row r="134" spans="1:6" x14ac:dyDescent="0.25">
      <c r="A134" s="226"/>
      <c r="B134" s="226"/>
      <c r="C134" s="226"/>
      <c r="D134" s="226"/>
      <c r="E134" s="241"/>
      <c r="F134" s="226"/>
    </row>
    <row r="135" spans="1:6" x14ac:dyDescent="0.25">
      <c r="A135" s="226"/>
      <c r="B135" s="226"/>
      <c r="C135" s="226"/>
      <c r="D135" s="226"/>
      <c r="E135" s="241"/>
      <c r="F135" s="226"/>
    </row>
    <row r="136" spans="1:6" x14ac:dyDescent="0.25">
      <c r="A136" s="226"/>
      <c r="B136" s="226"/>
      <c r="C136" s="226"/>
      <c r="D136" s="226"/>
      <c r="E136" s="241"/>
      <c r="F136" s="226"/>
    </row>
    <row r="137" spans="1:6" x14ac:dyDescent="0.25">
      <c r="A137" s="226"/>
      <c r="B137" s="226"/>
      <c r="C137" s="226"/>
      <c r="D137" s="226"/>
      <c r="E137" s="241"/>
      <c r="F137" s="226"/>
    </row>
    <row r="138" spans="1:6" x14ac:dyDescent="0.25">
      <c r="A138" s="226"/>
      <c r="B138" s="226"/>
      <c r="C138" s="226"/>
      <c r="D138" s="226"/>
      <c r="E138" s="241"/>
      <c r="F138" s="226"/>
    </row>
    <row r="139" spans="1:6" x14ac:dyDescent="0.25">
      <c r="A139" s="226"/>
      <c r="B139" s="226"/>
      <c r="C139" s="226"/>
      <c r="D139" s="226"/>
      <c r="E139" s="241"/>
      <c r="F139" s="226"/>
    </row>
    <row r="140" spans="1:6" x14ac:dyDescent="0.25">
      <c r="A140" s="226"/>
      <c r="B140" s="226"/>
      <c r="C140" s="226"/>
      <c r="D140" s="226"/>
      <c r="E140" s="241"/>
      <c r="F140" s="226"/>
    </row>
    <row r="141" spans="1:6" x14ac:dyDescent="0.25">
      <c r="A141" s="226"/>
      <c r="B141" s="226"/>
      <c r="C141" s="226"/>
      <c r="D141" s="226"/>
      <c r="E141" s="241"/>
      <c r="F141" s="226"/>
    </row>
    <row r="142" spans="1:6" x14ac:dyDescent="0.25">
      <c r="A142" s="226"/>
      <c r="B142" s="226"/>
      <c r="C142" s="226"/>
      <c r="D142" s="226"/>
      <c r="E142" s="241"/>
      <c r="F142" s="226"/>
    </row>
    <row r="143" spans="1:6" x14ac:dyDescent="0.25">
      <c r="A143" s="226"/>
      <c r="B143" s="226"/>
      <c r="C143" s="226"/>
      <c r="D143" s="226"/>
      <c r="E143" s="241"/>
      <c r="F143" s="226"/>
    </row>
    <row r="144" spans="1:6" x14ac:dyDescent="0.25">
      <c r="A144" s="226"/>
      <c r="B144" s="226"/>
      <c r="C144" s="226"/>
      <c r="D144" s="226"/>
      <c r="E144" s="241"/>
      <c r="F144" s="226"/>
    </row>
    <row r="145" spans="1:6" x14ac:dyDescent="0.25">
      <c r="A145" s="226"/>
      <c r="B145" s="226"/>
      <c r="C145" s="226"/>
      <c r="D145" s="226"/>
      <c r="E145" s="241"/>
      <c r="F145" s="226"/>
    </row>
    <row r="146" spans="1:6" x14ac:dyDescent="0.25">
      <c r="A146" s="226"/>
      <c r="B146" s="226"/>
      <c r="C146" s="226"/>
      <c r="D146" s="226"/>
      <c r="E146" s="241"/>
      <c r="F146" s="226"/>
    </row>
    <row r="147" spans="1:6" x14ac:dyDescent="0.25">
      <c r="A147" s="226"/>
      <c r="B147" s="226"/>
      <c r="C147" s="226"/>
      <c r="D147" s="226"/>
      <c r="E147" s="241"/>
      <c r="F147" s="226"/>
    </row>
    <row r="148" spans="1:6" x14ac:dyDescent="0.25">
      <c r="A148" s="226"/>
      <c r="B148" s="226"/>
      <c r="C148" s="226"/>
      <c r="D148" s="226"/>
      <c r="E148" s="241"/>
      <c r="F148" s="226"/>
    </row>
    <row r="149" spans="1:6" x14ac:dyDescent="0.25">
      <c r="A149" s="226"/>
      <c r="B149" s="226"/>
      <c r="C149" s="226"/>
      <c r="D149" s="226"/>
      <c r="E149" s="241"/>
      <c r="F149" s="226"/>
    </row>
    <row r="150" spans="1:6" x14ac:dyDescent="0.25">
      <c r="A150" s="226"/>
      <c r="B150" s="226"/>
      <c r="C150" s="226"/>
      <c r="D150" s="226"/>
      <c r="E150" s="241"/>
      <c r="F150" s="226"/>
    </row>
    <row r="151" spans="1:6" x14ac:dyDescent="0.25">
      <c r="A151" s="226"/>
      <c r="B151" s="226"/>
      <c r="C151" s="226"/>
      <c r="D151" s="226"/>
      <c r="E151" s="241"/>
      <c r="F151" s="226"/>
    </row>
    <row r="152" spans="1:6" x14ac:dyDescent="0.25">
      <c r="A152" s="226"/>
      <c r="B152" s="226"/>
      <c r="C152" s="226"/>
      <c r="D152" s="226"/>
      <c r="E152" s="241"/>
      <c r="F152" s="226"/>
    </row>
    <row r="153" spans="1:6" x14ac:dyDescent="0.25">
      <c r="A153" s="226"/>
      <c r="B153" s="226"/>
      <c r="C153" s="226"/>
      <c r="D153" s="226"/>
      <c r="E153" s="241"/>
      <c r="F153" s="226"/>
    </row>
    <row r="154" spans="1:6" x14ac:dyDescent="0.25">
      <c r="A154" s="226"/>
      <c r="B154" s="226"/>
      <c r="C154" s="226"/>
      <c r="D154" s="226"/>
      <c r="E154" s="241"/>
      <c r="F154" s="226"/>
    </row>
    <row r="155" spans="1:6" x14ac:dyDescent="0.25">
      <c r="A155" s="226"/>
      <c r="B155" s="226"/>
      <c r="C155" s="226"/>
      <c r="D155" s="226"/>
      <c r="E155" s="241"/>
      <c r="F155" s="226"/>
    </row>
    <row r="156" spans="1:6" x14ac:dyDescent="0.25">
      <c r="A156" s="226"/>
      <c r="B156" s="226"/>
      <c r="C156" s="226"/>
      <c r="D156" s="226"/>
      <c r="E156" s="241"/>
      <c r="F156" s="226"/>
    </row>
    <row r="157" spans="1:6" x14ac:dyDescent="0.25">
      <c r="A157" s="226"/>
      <c r="B157" s="226"/>
      <c r="C157" s="226"/>
      <c r="D157" s="226"/>
      <c r="E157" s="241"/>
      <c r="F157" s="226"/>
    </row>
    <row r="158" spans="1:6" x14ac:dyDescent="0.25">
      <c r="A158" s="226"/>
      <c r="B158" s="226"/>
      <c r="C158" s="226"/>
      <c r="D158" s="226"/>
      <c r="E158" s="241"/>
      <c r="F158" s="226"/>
    </row>
    <row r="159" spans="1:6" x14ac:dyDescent="0.25">
      <c r="A159" s="226"/>
      <c r="B159" s="226"/>
      <c r="C159" s="226"/>
      <c r="D159" s="226"/>
      <c r="E159" s="241"/>
      <c r="F159" s="226"/>
    </row>
    <row r="160" spans="1:6" x14ac:dyDescent="0.25">
      <c r="A160" s="226"/>
      <c r="B160" s="226"/>
      <c r="C160" s="226"/>
      <c r="D160" s="226"/>
      <c r="E160" s="241"/>
      <c r="F160" s="226"/>
    </row>
    <row r="161" spans="1:6" x14ac:dyDescent="0.25">
      <c r="A161" s="226"/>
      <c r="B161" s="226"/>
      <c r="C161" s="226"/>
      <c r="D161" s="226"/>
      <c r="E161" s="241"/>
      <c r="F161" s="226"/>
    </row>
    <row r="162" spans="1:6" x14ac:dyDescent="0.25">
      <c r="A162" s="226"/>
      <c r="B162" s="226"/>
      <c r="C162" s="226"/>
      <c r="D162" s="226"/>
      <c r="E162" s="241"/>
      <c r="F162" s="226"/>
    </row>
    <row r="163" spans="1:6" x14ac:dyDescent="0.25">
      <c r="A163" s="226"/>
      <c r="B163" s="226"/>
      <c r="C163" s="226"/>
      <c r="D163" s="226"/>
      <c r="E163" s="241"/>
      <c r="F163" s="226"/>
    </row>
    <row r="164" spans="1:6" x14ac:dyDescent="0.25">
      <c r="A164" s="226"/>
      <c r="B164" s="226"/>
      <c r="C164" s="226"/>
      <c r="D164" s="226"/>
      <c r="E164" s="241"/>
      <c r="F164" s="226"/>
    </row>
    <row r="165" spans="1:6" x14ac:dyDescent="0.25">
      <c r="A165" s="226"/>
      <c r="B165" s="226"/>
      <c r="C165" s="226"/>
      <c r="D165" s="226"/>
      <c r="E165" s="241"/>
      <c r="F165" s="226"/>
    </row>
    <row r="166" spans="1:6" x14ac:dyDescent="0.25">
      <c r="A166" s="226"/>
      <c r="B166" s="226"/>
      <c r="C166" s="226"/>
      <c r="D166" s="226"/>
      <c r="E166" s="241"/>
      <c r="F166" s="226"/>
    </row>
    <row r="167" spans="1:6" x14ac:dyDescent="0.25">
      <c r="A167" s="226"/>
      <c r="B167" s="226"/>
      <c r="C167" s="226"/>
      <c r="D167" s="226"/>
      <c r="E167" s="241"/>
      <c r="F167" s="226"/>
    </row>
    <row r="168" spans="1:6" x14ac:dyDescent="0.25">
      <c r="A168" s="226"/>
      <c r="B168" s="226"/>
      <c r="C168" s="226"/>
      <c r="D168" s="226"/>
      <c r="E168" s="241"/>
      <c r="F168" s="226"/>
    </row>
    <row r="169" spans="1:6" x14ac:dyDescent="0.25">
      <c r="A169" s="226"/>
      <c r="B169" s="226"/>
      <c r="C169" s="226"/>
      <c r="D169" s="226"/>
      <c r="E169" s="241"/>
      <c r="F169" s="226"/>
    </row>
    <row r="170" spans="1:6" x14ac:dyDescent="0.25">
      <c r="A170" s="226"/>
      <c r="B170" s="226"/>
      <c r="C170" s="226"/>
      <c r="D170" s="226"/>
      <c r="E170" s="241"/>
      <c r="F170" s="226"/>
    </row>
    <row r="171" spans="1:6" x14ac:dyDescent="0.25">
      <c r="A171" s="226"/>
      <c r="B171" s="226"/>
      <c r="C171" s="226"/>
      <c r="D171" s="226"/>
      <c r="E171" s="241"/>
      <c r="F171" s="226"/>
    </row>
    <row r="172" spans="1:6" x14ac:dyDescent="0.25">
      <c r="A172" s="226"/>
      <c r="B172" s="226"/>
      <c r="C172" s="226"/>
      <c r="D172" s="226"/>
      <c r="E172" s="241"/>
      <c r="F172" s="226"/>
    </row>
    <row r="173" spans="1:6" x14ac:dyDescent="0.25">
      <c r="A173" s="226"/>
      <c r="B173" s="226"/>
      <c r="C173" s="226"/>
      <c r="D173" s="226"/>
      <c r="E173" s="241"/>
      <c r="F173" s="226"/>
    </row>
    <row r="174" spans="1:6" x14ac:dyDescent="0.25">
      <c r="A174" s="226"/>
      <c r="B174" s="226"/>
      <c r="C174" s="226"/>
      <c r="D174" s="226"/>
      <c r="E174" s="241"/>
      <c r="F174" s="226"/>
    </row>
    <row r="175" spans="1:6" x14ac:dyDescent="0.25">
      <c r="A175" s="226"/>
      <c r="B175" s="226"/>
      <c r="C175" s="226"/>
      <c r="D175" s="226"/>
      <c r="E175" s="241"/>
      <c r="F175" s="226"/>
    </row>
    <row r="176" spans="1:6" x14ac:dyDescent="0.25">
      <c r="A176" s="226"/>
      <c r="B176" s="226"/>
      <c r="C176" s="226"/>
      <c r="D176" s="226"/>
      <c r="E176" s="241"/>
      <c r="F176" s="226"/>
    </row>
    <row r="177" spans="1:6" x14ac:dyDescent="0.25">
      <c r="A177" s="226"/>
      <c r="B177" s="226"/>
      <c r="C177" s="226"/>
      <c r="D177" s="226"/>
      <c r="E177" s="241"/>
      <c r="F177" s="226"/>
    </row>
    <row r="178" spans="1:6" x14ac:dyDescent="0.25">
      <c r="A178" s="226"/>
      <c r="B178" s="226"/>
      <c r="C178" s="226"/>
      <c r="D178" s="226"/>
      <c r="E178" s="241"/>
      <c r="F178" s="226"/>
    </row>
    <row r="179" spans="1:6" x14ac:dyDescent="0.25">
      <c r="A179" s="226"/>
      <c r="B179" s="226"/>
      <c r="C179" s="226"/>
      <c r="D179" s="226"/>
      <c r="E179" s="241"/>
      <c r="F179" s="226"/>
    </row>
    <row r="180" spans="1:6" x14ac:dyDescent="0.25">
      <c r="A180" s="226"/>
      <c r="B180" s="226"/>
      <c r="C180" s="226"/>
      <c r="D180" s="226"/>
      <c r="E180" s="241"/>
      <c r="F180" s="226"/>
    </row>
    <row r="181" spans="1:6" x14ac:dyDescent="0.25">
      <c r="A181" s="226"/>
      <c r="B181" s="226"/>
      <c r="C181" s="226"/>
      <c r="D181" s="226"/>
      <c r="E181" s="241"/>
      <c r="F181" s="226"/>
    </row>
    <row r="182" spans="1:6" x14ac:dyDescent="0.25">
      <c r="A182" s="226"/>
      <c r="B182" s="226"/>
      <c r="C182" s="226"/>
      <c r="D182" s="226"/>
      <c r="E182" s="241"/>
      <c r="F182" s="226"/>
    </row>
    <row r="183" spans="1:6" x14ac:dyDescent="0.25">
      <c r="A183" s="226"/>
      <c r="B183" s="226"/>
      <c r="C183" s="226"/>
      <c r="D183" s="226"/>
      <c r="E183" s="241"/>
      <c r="F183" s="226"/>
    </row>
    <row r="184" spans="1:6" x14ac:dyDescent="0.25">
      <c r="A184" s="226"/>
      <c r="B184" s="226"/>
      <c r="C184" s="226"/>
      <c r="D184" s="226"/>
      <c r="E184" s="241"/>
      <c r="F184" s="226"/>
    </row>
    <row r="185" spans="1:6" x14ac:dyDescent="0.25">
      <c r="A185" s="226"/>
      <c r="B185" s="226"/>
      <c r="C185" s="226"/>
      <c r="D185" s="226"/>
      <c r="E185" s="241"/>
      <c r="F185" s="226"/>
    </row>
    <row r="186" spans="1:6" x14ac:dyDescent="0.25">
      <c r="A186" s="226"/>
      <c r="B186" s="226"/>
      <c r="C186" s="226"/>
      <c r="D186" s="226"/>
      <c r="E186" s="241"/>
      <c r="F186" s="226"/>
    </row>
    <row r="187" spans="1:6" x14ac:dyDescent="0.25">
      <c r="A187" s="226"/>
      <c r="B187" s="226"/>
      <c r="C187" s="226"/>
      <c r="D187" s="226"/>
      <c r="E187" s="241"/>
      <c r="F187" s="226"/>
    </row>
    <row r="188" spans="1:6" x14ac:dyDescent="0.25">
      <c r="A188" s="226"/>
      <c r="B188" s="226"/>
      <c r="C188" s="226"/>
      <c r="D188" s="226"/>
      <c r="E188" s="241"/>
      <c r="F188" s="226"/>
    </row>
    <row r="189" spans="1:6" x14ac:dyDescent="0.25">
      <c r="A189" s="226"/>
      <c r="B189" s="226"/>
      <c r="C189" s="226"/>
      <c r="D189" s="226"/>
      <c r="E189" s="241"/>
      <c r="F189" s="226"/>
    </row>
    <row r="190" spans="1:6" x14ac:dyDescent="0.25">
      <c r="A190" s="226"/>
      <c r="B190" s="226"/>
      <c r="C190" s="226"/>
      <c r="D190" s="226"/>
      <c r="E190" s="241"/>
      <c r="F190" s="226"/>
    </row>
    <row r="191" spans="1:6" x14ac:dyDescent="0.25">
      <c r="A191" s="226"/>
      <c r="B191" s="226"/>
      <c r="C191" s="226"/>
      <c r="D191" s="226"/>
      <c r="E191" s="241"/>
      <c r="F191" s="226"/>
    </row>
    <row r="192" spans="1:6" x14ac:dyDescent="0.25">
      <c r="A192" s="226"/>
      <c r="B192" s="226"/>
      <c r="C192" s="226"/>
      <c r="D192" s="226"/>
      <c r="E192" s="241"/>
      <c r="F192" s="226"/>
    </row>
    <row r="193" spans="1:6" x14ac:dyDescent="0.25">
      <c r="A193" s="226"/>
      <c r="B193" s="226"/>
      <c r="C193" s="226"/>
      <c r="D193" s="226"/>
      <c r="E193" s="241"/>
      <c r="F193" s="226"/>
    </row>
    <row r="194" spans="1:6" x14ac:dyDescent="0.25">
      <c r="A194" s="226"/>
      <c r="B194" s="226"/>
      <c r="C194" s="226"/>
      <c r="D194" s="226"/>
      <c r="E194" s="241"/>
      <c r="F194" s="226"/>
    </row>
    <row r="195" spans="1:6" x14ac:dyDescent="0.25">
      <c r="A195" s="226"/>
      <c r="B195" s="226"/>
      <c r="C195" s="226"/>
      <c r="D195" s="226"/>
      <c r="E195" s="241"/>
      <c r="F195" s="226"/>
    </row>
    <row r="196" spans="1:6" x14ac:dyDescent="0.25">
      <c r="A196" s="226"/>
      <c r="B196" s="226"/>
      <c r="C196" s="226"/>
      <c r="D196" s="226"/>
      <c r="E196" s="241"/>
      <c r="F196" s="226"/>
    </row>
    <row r="197" spans="1:6" x14ac:dyDescent="0.25">
      <c r="A197" s="226"/>
      <c r="B197" s="226"/>
      <c r="C197" s="226"/>
      <c r="D197" s="226"/>
      <c r="E197" s="241"/>
      <c r="F197" s="226"/>
    </row>
    <row r="198" spans="1:6" x14ac:dyDescent="0.25">
      <c r="A198" s="226"/>
      <c r="B198" s="226"/>
      <c r="C198" s="226"/>
      <c r="D198" s="226"/>
      <c r="E198" s="241"/>
      <c r="F198" s="226"/>
    </row>
    <row r="199" spans="1:6" x14ac:dyDescent="0.25">
      <c r="A199" s="226"/>
      <c r="B199" s="226"/>
      <c r="C199" s="226"/>
      <c r="D199" s="226"/>
      <c r="E199" s="241"/>
      <c r="F199" s="226"/>
    </row>
    <row r="200" spans="1:6" x14ac:dyDescent="0.25">
      <c r="A200" s="226"/>
      <c r="B200" s="226"/>
      <c r="C200" s="226"/>
      <c r="D200" s="226"/>
      <c r="E200" s="241"/>
      <c r="F200" s="226"/>
    </row>
    <row r="201" spans="1:6" x14ac:dyDescent="0.25">
      <c r="A201" s="226"/>
      <c r="B201" s="226"/>
      <c r="C201" s="226"/>
      <c r="D201" s="226"/>
      <c r="E201" s="241"/>
      <c r="F201" s="226"/>
    </row>
    <row r="202" spans="1:6" x14ac:dyDescent="0.25">
      <c r="A202" s="226"/>
      <c r="B202" s="226"/>
      <c r="C202" s="226"/>
      <c r="D202" s="226"/>
      <c r="E202" s="241"/>
      <c r="F202" s="226"/>
    </row>
    <row r="203" spans="1:6" x14ac:dyDescent="0.25">
      <c r="A203" s="226"/>
      <c r="B203" s="226"/>
      <c r="C203" s="226"/>
      <c r="D203" s="226"/>
      <c r="E203" s="241"/>
      <c r="F203" s="226"/>
    </row>
    <row r="204" spans="1:6" x14ac:dyDescent="0.25">
      <c r="A204" s="226"/>
      <c r="B204" s="226"/>
      <c r="C204" s="226"/>
      <c r="D204" s="226"/>
      <c r="E204" s="241"/>
      <c r="F204" s="226"/>
    </row>
    <row r="205" spans="1:6" x14ac:dyDescent="0.25">
      <c r="A205" s="226"/>
      <c r="B205" s="226"/>
      <c r="C205" s="226"/>
      <c r="D205" s="226"/>
      <c r="E205" s="241"/>
      <c r="F205" s="226"/>
    </row>
    <row r="206" spans="1:6" x14ac:dyDescent="0.25">
      <c r="A206" s="226"/>
      <c r="B206" s="226"/>
      <c r="C206" s="226"/>
      <c r="D206" s="226"/>
      <c r="E206" s="241"/>
      <c r="F206" s="226"/>
    </row>
    <row r="207" spans="1:6" x14ac:dyDescent="0.25">
      <c r="A207" s="226"/>
      <c r="B207" s="226"/>
      <c r="C207" s="226"/>
      <c r="D207" s="226"/>
      <c r="E207" s="241"/>
      <c r="F207" s="226"/>
    </row>
    <row r="208" spans="1:6" x14ac:dyDescent="0.25">
      <c r="A208" s="226"/>
      <c r="B208" s="226"/>
      <c r="C208" s="226"/>
      <c r="D208" s="226"/>
      <c r="E208" s="241"/>
      <c r="F208" s="226"/>
    </row>
    <row r="209" spans="1:6" x14ac:dyDescent="0.25">
      <c r="A209" s="226"/>
      <c r="B209" s="226"/>
      <c r="C209" s="226"/>
      <c r="D209" s="226"/>
      <c r="E209" s="241"/>
      <c r="F209" s="226"/>
    </row>
    <row r="210" spans="1:6" x14ac:dyDescent="0.25">
      <c r="A210" s="226"/>
      <c r="B210" s="226"/>
      <c r="C210" s="226"/>
      <c r="D210" s="226"/>
      <c r="E210" s="241"/>
      <c r="F210" s="226"/>
    </row>
    <row r="211" spans="1:6" x14ac:dyDescent="0.25">
      <c r="A211" s="226"/>
      <c r="B211" s="226"/>
      <c r="C211" s="226"/>
      <c r="D211" s="226"/>
      <c r="E211" s="241"/>
      <c r="F211" s="226"/>
    </row>
    <row r="212" spans="1:6" x14ac:dyDescent="0.25">
      <c r="A212" s="226"/>
      <c r="B212" s="226"/>
      <c r="C212" s="226"/>
      <c r="D212" s="226"/>
      <c r="E212" s="241"/>
      <c r="F212" s="226"/>
    </row>
    <row r="213" spans="1:6" x14ac:dyDescent="0.25">
      <c r="A213" s="226"/>
      <c r="B213" s="226"/>
      <c r="C213" s="226"/>
      <c r="D213" s="226"/>
      <c r="E213" s="241"/>
      <c r="F213" s="226"/>
    </row>
    <row r="214" spans="1:6" x14ac:dyDescent="0.25">
      <c r="A214" s="226"/>
      <c r="B214" s="226"/>
      <c r="C214" s="226"/>
      <c r="D214" s="226"/>
      <c r="E214" s="241"/>
      <c r="F214" s="226"/>
    </row>
    <row r="215" spans="1:6" x14ac:dyDescent="0.25">
      <c r="A215" s="226"/>
      <c r="B215" s="226"/>
      <c r="C215" s="226"/>
      <c r="D215" s="226"/>
      <c r="E215" s="241"/>
      <c r="F215" s="226"/>
    </row>
    <row r="216" spans="1:6" x14ac:dyDescent="0.25">
      <c r="A216" s="226"/>
      <c r="B216" s="226"/>
      <c r="C216" s="226"/>
      <c r="D216" s="226"/>
      <c r="E216" s="241"/>
      <c r="F216" s="226"/>
    </row>
    <row r="217" spans="1:6" x14ac:dyDescent="0.25">
      <c r="A217" s="226"/>
      <c r="B217" s="226"/>
      <c r="C217" s="226"/>
      <c r="D217" s="226"/>
      <c r="E217" s="241"/>
      <c r="F217" s="226"/>
    </row>
    <row r="218" spans="1:6" x14ac:dyDescent="0.25">
      <c r="A218" s="226"/>
      <c r="B218" s="226"/>
      <c r="C218" s="226"/>
      <c r="D218" s="226"/>
      <c r="E218" s="241"/>
      <c r="F218" s="226"/>
    </row>
    <row r="219" spans="1:6" x14ac:dyDescent="0.25">
      <c r="A219" s="226"/>
      <c r="B219" s="226"/>
      <c r="C219" s="226"/>
      <c r="D219" s="226"/>
      <c r="E219" s="241"/>
      <c r="F219" s="226"/>
    </row>
    <row r="220" spans="1:6" x14ac:dyDescent="0.25">
      <c r="A220" s="226"/>
      <c r="B220" s="226"/>
      <c r="C220" s="226"/>
      <c r="D220" s="226"/>
      <c r="E220" s="241"/>
      <c r="F220" s="226"/>
    </row>
    <row r="221" spans="1:6" x14ac:dyDescent="0.25">
      <c r="A221" s="226"/>
      <c r="B221" s="226"/>
      <c r="C221" s="226"/>
      <c r="D221" s="226"/>
      <c r="E221" s="241"/>
      <c r="F221" s="226"/>
    </row>
    <row r="222" spans="1:6" x14ac:dyDescent="0.25">
      <c r="A222" s="226"/>
      <c r="B222" s="226"/>
      <c r="C222" s="226"/>
      <c r="D222" s="226"/>
      <c r="E222" s="241"/>
      <c r="F222" s="226"/>
    </row>
    <row r="223" spans="1:6" x14ac:dyDescent="0.25">
      <c r="A223" s="226"/>
      <c r="B223" s="226"/>
      <c r="C223" s="226"/>
      <c r="D223" s="226"/>
      <c r="E223" s="241"/>
      <c r="F223" s="226"/>
    </row>
    <row r="224" spans="1:6" x14ac:dyDescent="0.25">
      <c r="A224" s="226"/>
      <c r="B224" s="226"/>
      <c r="C224" s="226"/>
      <c r="D224" s="226"/>
      <c r="E224" s="241"/>
      <c r="F224" s="226"/>
    </row>
    <row r="225" spans="1:6" x14ac:dyDescent="0.25">
      <c r="A225" s="226"/>
      <c r="B225" s="226"/>
      <c r="C225" s="226"/>
      <c r="D225" s="226"/>
      <c r="E225" s="241"/>
      <c r="F225" s="226"/>
    </row>
    <row r="226" spans="1:6" x14ac:dyDescent="0.25">
      <c r="A226" s="226"/>
      <c r="B226" s="226"/>
      <c r="C226" s="226"/>
      <c r="D226" s="226"/>
      <c r="E226" s="241"/>
      <c r="F226" s="226"/>
    </row>
    <row r="227" spans="1:6" x14ac:dyDescent="0.25">
      <c r="A227" s="226"/>
      <c r="B227" s="226"/>
      <c r="C227" s="226"/>
      <c r="D227" s="226"/>
      <c r="E227" s="241"/>
      <c r="F227" s="226"/>
    </row>
    <row r="228" spans="1:6" x14ac:dyDescent="0.25">
      <c r="A228" s="226"/>
      <c r="B228" s="226"/>
      <c r="C228" s="226"/>
      <c r="D228" s="226"/>
      <c r="E228" s="241"/>
      <c r="F228" s="226"/>
    </row>
    <row r="229" spans="1:6" x14ac:dyDescent="0.25">
      <c r="A229" s="226"/>
      <c r="B229" s="226"/>
      <c r="C229" s="226"/>
      <c r="D229" s="226"/>
      <c r="E229" s="241"/>
      <c r="F229" s="226"/>
    </row>
    <row r="230" spans="1:6" x14ac:dyDescent="0.25">
      <c r="A230" s="226"/>
      <c r="B230" s="226"/>
      <c r="C230" s="226"/>
      <c r="D230" s="226"/>
      <c r="E230" s="241"/>
      <c r="F230" s="226"/>
    </row>
    <row r="231" spans="1:6" x14ac:dyDescent="0.25">
      <c r="A231" s="226"/>
      <c r="B231" s="226"/>
      <c r="C231" s="226"/>
      <c r="D231" s="226"/>
      <c r="E231" s="241"/>
      <c r="F231" s="226"/>
    </row>
    <row r="232" spans="1:6" x14ac:dyDescent="0.25">
      <c r="A232" s="226"/>
      <c r="B232" s="226"/>
      <c r="C232" s="226"/>
      <c r="D232" s="226"/>
      <c r="E232" s="241"/>
      <c r="F232" s="226"/>
    </row>
    <row r="233" spans="1:6" x14ac:dyDescent="0.25">
      <c r="A233" s="226"/>
      <c r="B233" s="226"/>
      <c r="C233" s="226"/>
      <c r="D233" s="226"/>
      <c r="E233" s="241"/>
      <c r="F233" s="226"/>
    </row>
    <row r="234" spans="1:6" x14ac:dyDescent="0.25">
      <c r="A234" s="226"/>
      <c r="B234" s="226"/>
      <c r="C234" s="226"/>
      <c r="D234" s="226"/>
      <c r="E234" s="241"/>
      <c r="F234" s="226"/>
    </row>
    <row r="235" spans="1:6" x14ac:dyDescent="0.25">
      <c r="A235" s="226"/>
      <c r="B235" s="226"/>
      <c r="C235" s="226"/>
      <c r="D235" s="226"/>
      <c r="E235" s="241"/>
      <c r="F235" s="226"/>
    </row>
    <row r="236" spans="1:6" x14ac:dyDescent="0.25">
      <c r="A236" s="226"/>
      <c r="B236" s="226"/>
      <c r="C236" s="226"/>
      <c r="D236" s="226"/>
      <c r="E236" s="241"/>
      <c r="F236" s="226"/>
    </row>
    <row r="237" spans="1:6" x14ac:dyDescent="0.25">
      <c r="A237" s="226"/>
      <c r="B237" s="226"/>
      <c r="C237" s="226"/>
      <c r="D237" s="226"/>
      <c r="E237" s="241"/>
      <c r="F237" s="226"/>
    </row>
    <row r="238" spans="1:6" x14ac:dyDescent="0.25">
      <c r="A238" s="226"/>
      <c r="B238" s="226"/>
      <c r="C238" s="226"/>
      <c r="D238" s="226"/>
      <c r="E238" s="241"/>
      <c r="F238" s="226"/>
    </row>
    <row r="239" spans="1:6" x14ac:dyDescent="0.25">
      <c r="A239" s="226"/>
      <c r="B239" s="226"/>
      <c r="C239" s="226"/>
      <c r="D239" s="226"/>
      <c r="E239" s="241"/>
      <c r="F239" s="226"/>
    </row>
    <row r="240" spans="1:6" x14ac:dyDescent="0.25">
      <c r="A240" s="226"/>
      <c r="B240" s="226"/>
      <c r="C240" s="226"/>
      <c r="D240" s="226"/>
      <c r="E240" s="241"/>
      <c r="F240" s="226"/>
    </row>
    <row r="241" spans="1:6" x14ac:dyDescent="0.25">
      <c r="A241" s="226"/>
      <c r="B241" s="226"/>
      <c r="C241" s="226"/>
      <c r="D241" s="226"/>
      <c r="E241" s="241"/>
      <c r="F241" s="226"/>
    </row>
    <row r="242" spans="1:6" x14ac:dyDescent="0.25">
      <c r="A242" s="226"/>
      <c r="B242" s="226"/>
      <c r="C242" s="226"/>
      <c r="D242" s="226"/>
      <c r="E242" s="241"/>
      <c r="F242" s="226"/>
    </row>
    <row r="243" spans="1:6" x14ac:dyDescent="0.25">
      <c r="A243" s="226"/>
      <c r="B243" s="226"/>
      <c r="C243" s="226"/>
      <c r="D243" s="226"/>
      <c r="E243" s="241"/>
      <c r="F243" s="226"/>
    </row>
    <row r="244" spans="1:6" x14ac:dyDescent="0.25">
      <c r="A244" s="226"/>
      <c r="B244" s="226"/>
      <c r="C244" s="226"/>
      <c r="D244" s="226"/>
      <c r="E244" s="241"/>
      <c r="F244" s="226"/>
    </row>
    <row r="245" spans="1:6" x14ac:dyDescent="0.25">
      <c r="A245" s="226"/>
      <c r="B245" s="226"/>
      <c r="C245" s="226"/>
      <c r="D245" s="226"/>
      <c r="E245" s="241"/>
      <c r="F245" s="226"/>
    </row>
    <row r="246" spans="1:6" x14ac:dyDescent="0.25">
      <c r="A246" s="226"/>
      <c r="B246" s="226"/>
      <c r="C246" s="226"/>
      <c r="D246" s="226"/>
      <c r="E246" s="241"/>
      <c r="F246" s="226"/>
    </row>
    <row r="247" spans="1:6" x14ac:dyDescent="0.25">
      <c r="A247" s="226"/>
      <c r="B247" s="226"/>
      <c r="C247" s="226"/>
      <c r="D247" s="226"/>
      <c r="E247" s="241"/>
      <c r="F247" s="226"/>
    </row>
    <row r="248" spans="1:6" x14ac:dyDescent="0.25">
      <c r="A248" s="226"/>
      <c r="B248" s="226"/>
      <c r="C248" s="226"/>
      <c r="D248" s="226"/>
      <c r="E248" s="241"/>
      <c r="F248" s="226"/>
    </row>
    <row r="249" spans="1:6" x14ac:dyDescent="0.25">
      <c r="A249" s="226"/>
      <c r="B249" s="226"/>
      <c r="C249" s="226"/>
      <c r="D249" s="226"/>
      <c r="E249" s="241"/>
      <c r="F249" s="226"/>
    </row>
    <row r="250" spans="1:6" x14ac:dyDescent="0.25">
      <c r="A250" s="226"/>
      <c r="B250" s="226"/>
      <c r="C250" s="226"/>
      <c r="D250" s="226"/>
      <c r="E250" s="241"/>
      <c r="F250" s="226"/>
    </row>
    <row r="251" spans="1:6" x14ac:dyDescent="0.25">
      <c r="A251" s="226"/>
      <c r="B251" s="226"/>
      <c r="C251" s="226"/>
      <c r="D251" s="226"/>
      <c r="E251" s="241"/>
      <c r="F251" s="226"/>
    </row>
    <row r="252" spans="1:6" x14ac:dyDescent="0.25">
      <c r="A252" s="226"/>
      <c r="B252" s="226"/>
      <c r="C252" s="226"/>
      <c r="D252" s="226"/>
      <c r="E252" s="241"/>
      <c r="F252" s="226"/>
    </row>
    <row r="253" spans="1:6" x14ac:dyDescent="0.25">
      <c r="A253" s="226"/>
      <c r="B253" s="226"/>
      <c r="C253" s="226"/>
      <c r="D253" s="226"/>
      <c r="E253" s="241"/>
      <c r="F253" s="226"/>
    </row>
    <row r="254" spans="1:6" x14ac:dyDescent="0.25">
      <c r="A254" s="226"/>
      <c r="B254" s="226"/>
      <c r="C254" s="226"/>
      <c r="D254" s="226"/>
      <c r="E254" s="241"/>
      <c r="F254" s="226"/>
    </row>
    <row r="255" spans="1:6" x14ac:dyDescent="0.25">
      <c r="A255" s="226"/>
      <c r="B255" s="226"/>
      <c r="C255" s="226"/>
      <c r="D255" s="226"/>
      <c r="E255" s="241"/>
      <c r="F255" s="226"/>
    </row>
    <row r="256" spans="1:6" x14ac:dyDescent="0.25">
      <c r="A256" s="226"/>
      <c r="B256" s="226"/>
      <c r="C256" s="226"/>
      <c r="D256" s="226"/>
      <c r="E256" s="241"/>
      <c r="F256" s="226"/>
    </row>
    <row r="257" spans="1:6" x14ac:dyDescent="0.25">
      <c r="A257" s="226"/>
      <c r="B257" s="226"/>
      <c r="C257" s="226"/>
      <c r="D257" s="226"/>
      <c r="E257" s="241"/>
      <c r="F257" s="226"/>
    </row>
    <row r="258" spans="1:6" x14ac:dyDescent="0.25">
      <c r="A258" s="226"/>
      <c r="B258" s="226"/>
      <c r="C258" s="226"/>
      <c r="D258" s="226"/>
      <c r="E258" s="241"/>
      <c r="F258" s="226"/>
    </row>
    <row r="259" spans="1:6" x14ac:dyDescent="0.25">
      <c r="A259" s="226"/>
      <c r="B259" s="226"/>
      <c r="C259" s="226"/>
      <c r="D259" s="226"/>
      <c r="E259" s="241"/>
      <c r="F259" s="226"/>
    </row>
    <row r="260" spans="1:6" x14ac:dyDescent="0.25">
      <c r="A260" s="226"/>
      <c r="B260" s="226"/>
      <c r="C260" s="226"/>
      <c r="D260" s="226"/>
      <c r="E260" s="241"/>
      <c r="F260" s="226"/>
    </row>
    <row r="261" spans="1:6" x14ac:dyDescent="0.25">
      <c r="A261" s="226"/>
      <c r="B261" s="226"/>
      <c r="C261" s="226"/>
      <c r="D261" s="226"/>
      <c r="E261" s="241"/>
      <c r="F261" s="226"/>
    </row>
    <row r="262" spans="1:6" x14ac:dyDescent="0.25">
      <c r="A262" s="226"/>
      <c r="B262" s="226"/>
      <c r="C262" s="226"/>
      <c r="D262" s="226"/>
      <c r="E262" s="241"/>
      <c r="F262" s="226"/>
    </row>
    <row r="263" spans="1:6" x14ac:dyDescent="0.25">
      <c r="A263" s="226"/>
      <c r="B263" s="226"/>
      <c r="C263" s="226"/>
      <c r="D263" s="226"/>
      <c r="E263" s="241"/>
      <c r="F263" s="226"/>
    </row>
    <row r="264" spans="1:6" x14ac:dyDescent="0.25">
      <c r="A264" s="226"/>
      <c r="B264" s="226"/>
      <c r="C264" s="226"/>
      <c r="D264" s="226"/>
      <c r="E264" s="241"/>
      <c r="F264" s="226"/>
    </row>
    <row r="265" spans="1:6" x14ac:dyDescent="0.25">
      <c r="A265" s="226"/>
      <c r="B265" s="226"/>
      <c r="C265" s="226"/>
      <c r="D265" s="226"/>
      <c r="E265" s="241"/>
      <c r="F265" s="226"/>
    </row>
    <row r="266" spans="1:6" x14ac:dyDescent="0.25">
      <c r="A266" s="226"/>
      <c r="B266" s="226"/>
      <c r="C266" s="226"/>
      <c r="D266" s="226"/>
      <c r="E266" s="241"/>
      <c r="F266" s="226"/>
    </row>
    <row r="267" spans="1:6" x14ac:dyDescent="0.25">
      <c r="A267" s="226"/>
      <c r="B267" s="226"/>
      <c r="C267" s="226"/>
      <c r="D267" s="226"/>
      <c r="E267" s="241"/>
      <c r="F267" s="226"/>
    </row>
    <row r="268" spans="1:6" x14ac:dyDescent="0.25">
      <c r="A268" s="226"/>
      <c r="B268" s="226"/>
      <c r="C268" s="226"/>
      <c r="D268" s="226"/>
      <c r="E268" s="241"/>
      <c r="F268" s="226"/>
    </row>
    <row r="269" spans="1:6" x14ac:dyDescent="0.25">
      <c r="A269" s="226"/>
      <c r="B269" s="226"/>
      <c r="C269" s="226"/>
      <c r="D269" s="226"/>
      <c r="E269" s="241"/>
      <c r="F269" s="226"/>
    </row>
    <row r="270" spans="1:6" x14ac:dyDescent="0.25">
      <c r="A270" s="226"/>
      <c r="B270" s="226"/>
      <c r="C270" s="226"/>
      <c r="D270" s="226"/>
      <c r="E270" s="241"/>
      <c r="F270" s="226"/>
    </row>
    <row r="271" spans="1:6" x14ac:dyDescent="0.25">
      <c r="A271" s="226"/>
      <c r="B271" s="226"/>
      <c r="C271" s="226"/>
      <c r="D271" s="226"/>
      <c r="E271" s="241"/>
      <c r="F271" s="226"/>
    </row>
    <row r="272" spans="1:6" x14ac:dyDescent="0.25">
      <c r="A272" s="226"/>
      <c r="B272" s="226"/>
      <c r="C272" s="226"/>
      <c r="D272" s="226"/>
      <c r="E272" s="241"/>
      <c r="F272" s="226"/>
    </row>
    <row r="273" spans="1:6" x14ac:dyDescent="0.25">
      <c r="A273" s="226"/>
      <c r="B273" s="226"/>
      <c r="C273" s="226"/>
      <c r="D273" s="226"/>
      <c r="E273" s="241"/>
      <c r="F273" s="226"/>
    </row>
    <row r="274" spans="1:6" x14ac:dyDescent="0.25">
      <c r="A274" s="226"/>
      <c r="B274" s="226"/>
      <c r="C274" s="226"/>
      <c r="D274" s="226"/>
      <c r="E274" s="241"/>
      <c r="F274" s="226"/>
    </row>
    <row r="275" spans="1:6" x14ac:dyDescent="0.25">
      <c r="A275" s="226"/>
      <c r="B275" s="226"/>
      <c r="C275" s="226"/>
      <c r="D275" s="226"/>
      <c r="E275" s="241"/>
      <c r="F275" s="226"/>
    </row>
    <row r="276" spans="1:6" x14ac:dyDescent="0.25">
      <c r="A276" s="226"/>
      <c r="B276" s="226"/>
      <c r="C276" s="226"/>
      <c r="D276" s="226"/>
      <c r="E276" s="241"/>
      <c r="F276" s="226"/>
    </row>
    <row r="277" spans="1:6" x14ac:dyDescent="0.25">
      <c r="A277" s="226"/>
      <c r="B277" s="226"/>
      <c r="C277" s="226"/>
      <c r="D277" s="226"/>
      <c r="E277" s="241"/>
      <c r="F277" s="226"/>
    </row>
    <row r="278" spans="1:6" x14ac:dyDescent="0.25">
      <c r="A278" s="226"/>
      <c r="B278" s="226"/>
      <c r="C278" s="226"/>
      <c r="D278" s="226"/>
      <c r="E278" s="241"/>
      <c r="F278" s="226"/>
    </row>
    <row r="279" spans="1:6" x14ac:dyDescent="0.25">
      <c r="A279" s="226"/>
      <c r="B279" s="226"/>
      <c r="C279" s="226"/>
      <c r="D279" s="226"/>
      <c r="E279" s="241"/>
      <c r="F279" s="226"/>
    </row>
    <row r="280" spans="1:6" x14ac:dyDescent="0.25">
      <c r="A280" s="226"/>
      <c r="B280" s="226"/>
      <c r="C280" s="226"/>
      <c r="D280" s="226"/>
      <c r="E280" s="241"/>
      <c r="F280" s="226"/>
    </row>
    <row r="281" spans="1:6" x14ac:dyDescent="0.25">
      <c r="A281" s="226"/>
      <c r="B281" s="226"/>
      <c r="C281" s="226"/>
      <c r="D281" s="226"/>
      <c r="E281" s="241"/>
      <c r="F281" s="226"/>
    </row>
    <row r="282" spans="1:6" x14ac:dyDescent="0.25">
      <c r="A282" s="226"/>
      <c r="B282" s="226"/>
      <c r="C282" s="226"/>
      <c r="D282" s="226"/>
      <c r="E282" s="241"/>
      <c r="F282" s="226"/>
    </row>
    <row r="283" spans="1:6" x14ac:dyDescent="0.25">
      <c r="A283" s="226"/>
      <c r="B283" s="226"/>
      <c r="C283" s="226"/>
      <c r="D283" s="226"/>
      <c r="E283" s="241"/>
      <c r="F283" s="226"/>
    </row>
    <row r="284" spans="1:6" x14ac:dyDescent="0.25">
      <c r="A284" s="226"/>
      <c r="B284" s="226"/>
      <c r="C284" s="226"/>
      <c r="D284" s="226"/>
      <c r="E284" s="241"/>
      <c r="F284" s="226"/>
    </row>
    <row r="285" spans="1:6" x14ac:dyDescent="0.25">
      <c r="A285" s="226"/>
      <c r="B285" s="226"/>
      <c r="C285" s="226"/>
      <c r="D285" s="226"/>
      <c r="E285" s="241"/>
      <c r="F285" s="226"/>
    </row>
    <row r="286" spans="1:6" x14ac:dyDescent="0.25">
      <c r="A286" s="226"/>
      <c r="B286" s="226"/>
      <c r="C286" s="226"/>
      <c r="D286" s="226"/>
      <c r="E286" s="241"/>
      <c r="F286" s="226"/>
    </row>
    <row r="287" spans="1:6" x14ac:dyDescent="0.25">
      <c r="A287" s="226"/>
      <c r="B287" s="226"/>
      <c r="C287" s="226"/>
      <c r="D287" s="226"/>
      <c r="E287" s="241"/>
      <c r="F287" s="226"/>
    </row>
    <row r="288" spans="1:6" x14ac:dyDescent="0.25">
      <c r="A288" s="226"/>
      <c r="B288" s="226"/>
      <c r="C288" s="226"/>
      <c r="D288" s="226"/>
      <c r="E288" s="241"/>
      <c r="F288" s="226"/>
    </row>
    <row r="289" spans="1:6" x14ac:dyDescent="0.25">
      <c r="A289" s="226"/>
      <c r="B289" s="226"/>
      <c r="C289" s="226"/>
      <c r="D289" s="226"/>
      <c r="E289" s="241"/>
      <c r="F289" s="226"/>
    </row>
    <row r="290" spans="1:6" x14ac:dyDescent="0.25">
      <c r="A290" s="226"/>
      <c r="B290" s="226"/>
      <c r="C290" s="226"/>
      <c r="D290" s="226"/>
      <c r="E290" s="241"/>
      <c r="F290" s="226"/>
    </row>
    <row r="291" spans="1:6" x14ac:dyDescent="0.25">
      <c r="A291" s="226"/>
      <c r="B291" s="226"/>
      <c r="C291" s="226"/>
      <c r="D291" s="226"/>
      <c r="E291" s="241"/>
      <c r="F291" s="226"/>
    </row>
    <row r="292" spans="1:6" x14ac:dyDescent="0.25">
      <c r="A292" s="226"/>
      <c r="B292" s="226"/>
      <c r="C292" s="226"/>
      <c r="D292" s="226"/>
      <c r="E292" s="241"/>
      <c r="F292" s="226"/>
    </row>
    <row r="293" spans="1:6" x14ac:dyDescent="0.25">
      <c r="A293" s="226"/>
      <c r="B293" s="226"/>
      <c r="C293" s="226"/>
      <c r="D293" s="226"/>
      <c r="E293" s="241"/>
      <c r="F293" s="226"/>
    </row>
    <row r="294" spans="1:6" x14ac:dyDescent="0.25">
      <c r="A294" s="226"/>
      <c r="B294" s="226"/>
      <c r="C294" s="226"/>
      <c r="D294" s="226"/>
      <c r="E294" s="241"/>
      <c r="F294" s="226"/>
    </row>
    <row r="295" spans="1:6" x14ac:dyDescent="0.25">
      <c r="A295" s="226"/>
      <c r="B295" s="226"/>
      <c r="C295" s="226"/>
      <c r="D295" s="226"/>
      <c r="E295" s="241"/>
      <c r="F295" s="226"/>
    </row>
    <row r="296" spans="1:6" x14ac:dyDescent="0.25">
      <c r="A296" s="226"/>
      <c r="B296" s="226"/>
      <c r="C296" s="226"/>
      <c r="D296" s="226"/>
      <c r="E296" s="241"/>
      <c r="F296" s="226"/>
    </row>
    <row r="297" spans="1:6" x14ac:dyDescent="0.25">
      <c r="A297" s="226"/>
      <c r="B297" s="226"/>
      <c r="C297" s="226"/>
      <c r="D297" s="226"/>
      <c r="E297" s="241"/>
      <c r="F297" s="226"/>
    </row>
    <row r="298" spans="1:6" x14ac:dyDescent="0.25">
      <c r="A298" s="226"/>
      <c r="B298" s="226"/>
      <c r="C298" s="226"/>
      <c r="D298" s="226"/>
      <c r="E298" s="241"/>
      <c r="F298" s="226"/>
    </row>
    <row r="299" spans="1:6" x14ac:dyDescent="0.25">
      <c r="A299" s="226"/>
      <c r="B299" s="226"/>
      <c r="C299" s="226"/>
      <c r="D299" s="226"/>
      <c r="E299" s="241"/>
      <c r="F299" s="226"/>
    </row>
    <row r="300" spans="1:6" x14ac:dyDescent="0.25">
      <c r="A300" s="226"/>
      <c r="B300" s="226"/>
      <c r="C300" s="226"/>
      <c r="D300" s="226"/>
      <c r="E300" s="241"/>
      <c r="F300" s="226"/>
    </row>
    <row r="301" spans="1:6" x14ac:dyDescent="0.25">
      <c r="A301" s="226"/>
      <c r="B301" s="226"/>
      <c r="C301" s="226"/>
      <c r="D301" s="226"/>
      <c r="E301" s="241"/>
      <c r="F301" s="226"/>
    </row>
    <row r="302" spans="1:6" x14ac:dyDescent="0.25">
      <c r="A302" s="226"/>
      <c r="B302" s="226"/>
      <c r="C302" s="226"/>
      <c r="D302" s="226"/>
      <c r="E302" s="241"/>
      <c r="F302" s="226"/>
    </row>
    <row r="303" spans="1:6" x14ac:dyDescent="0.25">
      <c r="A303" s="226"/>
      <c r="B303" s="226"/>
      <c r="C303" s="226"/>
      <c r="D303" s="226"/>
      <c r="E303" s="241"/>
      <c r="F303" s="226"/>
    </row>
    <row r="304" spans="1:6" x14ac:dyDescent="0.25">
      <c r="A304" s="226"/>
      <c r="B304" s="226"/>
      <c r="C304" s="226"/>
      <c r="D304" s="226"/>
      <c r="E304" s="241"/>
      <c r="F304" s="226"/>
    </row>
    <row r="305" spans="1:6" x14ac:dyDescent="0.25">
      <c r="A305" s="226"/>
      <c r="B305" s="226"/>
      <c r="C305" s="226"/>
      <c r="D305" s="226"/>
      <c r="E305" s="241"/>
      <c r="F305" s="226"/>
    </row>
    <row r="306" spans="1:6" x14ac:dyDescent="0.25">
      <c r="A306" s="226"/>
      <c r="B306" s="226"/>
      <c r="C306" s="226"/>
      <c r="D306" s="226"/>
      <c r="E306" s="241"/>
      <c r="F306" s="226"/>
    </row>
    <row r="307" spans="1:6" x14ac:dyDescent="0.25">
      <c r="A307" s="226"/>
      <c r="B307" s="226"/>
      <c r="C307" s="226"/>
      <c r="D307" s="226"/>
      <c r="E307" s="241"/>
      <c r="F307" s="226"/>
    </row>
    <row r="308" spans="1:6" x14ac:dyDescent="0.25">
      <c r="A308" s="226"/>
      <c r="B308" s="226"/>
      <c r="C308" s="226"/>
      <c r="D308" s="226"/>
      <c r="E308" s="241"/>
      <c r="F308" s="226"/>
    </row>
    <row r="309" spans="1:6" x14ac:dyDescent="0.25">
      <c r="A309" s="226"/>
      <c r="B309" s="226"/>
      <c r="C309" s="226"/>
      <c r="D309" s="226"/>
      <c r="E309" s="241"/>
      <c r="F309" s="226"/>
    </row>
    <row r="310" spans="1:6" x14ac:dyDescent="0.25">
      <c r="A310" s="226"/>
      <c r="B310" s="226"/>
      <c r="C310" s="226"/>
      <c r="D310" s="226"/>
      <c r="E310" s="241"/>
      <c r="F310" s="226"/>
    </row>
    <row r="311" spans="1:6" x14ac:dyDescent="0.25">
      <c r="A311" s="226"/>
      <c r="B311" s="226"/>
      <c r="C311" s="226"/>
      <c r="D311" s="226"/>
      <c r="E311" s="241"/>
      <c r="F311" s="226"/>
    </row>
    <row r="312" spans="1:6" x14ac:dyDescent="0.25">
      <c r="A312" s="226"/>
      <c r="B312" s="226"/>
      <c r="C312" s="226"/>
      <c r="D312" s="226"/>
      <c r="E312" s="241"/>
      <c r="F312" s="226"/>
    </row>
    <row r="313" spans="1:6" x14ac:dyDescent="0.25">
      <c r="A313" s="226"/>
      <c r="B313" s="226"/>
      <c r="C313" s="226"/>
      <c r="D313" s="226"/>
      <c r="E313" s="241"/>
      <c r="F313" s="226"/>
    </row>
    <row r="314" spans="1:6" x14ac:dyDescent="0.25">
      <c r="A314" s="226"/>
      <c r="B314" s="226"/>
      <c r="C314" s="226"/>
      <c r="D314" s="226"/>
      <c r="E314" s="241"/>
      <c r="F314" s="226"/>
    </row>
    <row r="315" spans="1:6" x14ac:dyDescent="0.25">
      <c r="A315" s="226"/>
      <c r="B315" s="226"/>
      <c r="C315" s="226"/>
      <c r="D315" s="226"/>
      <c r="E315" s="241"/>
      <c r="F315" s="226"/>
    </row>
    <row r="316" spans="1:6" x14ac:dyDescent="0.25">
      <c r="A316" s="226"/>
      <c r="B316" s="226"/>
      <c r="C316" s="226"/>
      <c r="D316" s="226"/>
      <c r="E316" s="241"/>
      <c r="F316" s="226"/>
    </row>
    <row r="317" spans="1:6" x14ac:dyDescent="0.25">
      <c r="A317" s="226"/>
      <c r="B317" s="226"/>
      <c r="C317" s="226"/>
      <c r="D317" s="226"/>
      <c r="E317" s="241"/>
      <c r="F317" s="226"/>
    </row>
    <row r="318" spans="1:6" x14ac:dyDescent="0.25">
      <c r="A318" s="226"/>
      <c r="B318" s="226"/>
      <c r="C318" s="226"/>
      <c r="D318" s="226"/>
      <c r="E318" s="241"/>
      <c r="F318" s="226"/>
    </row>
    <row r="319" spans="1:6" x14ac:dyDescent="0.25">
      <c r="A319" s="226"/>
      <c r="B319" s="226"/>
      <c r="C319" s="226"/>
      <c r="D319" s="226"/>
      <c r="E319" s="241"/>
      <c r="F319" s="226"/>
    </row>
    <row r="320" spans="1:6" x14ac:dyDescent="0.25">
      <c r="A320" s="226"/>
      <c r="B320" s="226"/>
      <c r="C320" s="226"/>
      <c r="D320" s="226"/>
      <c r="E320" s="241"/>
      <c r="F320" s="226"/>
    </row>
    <row r="321" spans="1:6" x14ac:dyDescent="0.25">
      <c r="A321" s="226"/>
      <c r="B321" s="226"/>
      <c r="C321" s="226"/>
      <c r="D321" s="226"/>
      <c r="E321" s="241"/>
      <c r="F321" s="226"/>
    </row>
    <row r="322" spans="1:6" x14ac:dyDescent="0.25">
      <c r="A322" s="226"/>
      <c r="B322" s="226"/>
      <c r="C322" s="226"/>
      <c r="D322" s="226"/>
      <c r="E322" s="241"/>
      <c r="F322" s="226"/>
    </row>
    <row r="323" spans="1:6" x14ac:dyDescent="0.25">
      <c r="A323" s="226"/>
      <c r="B323" s="226"/>
      <c r="C323" s="226"/>
      <c r="D323" s="226"/>
      <c r="E323" s="241"/>
      <c r="F323" s="226"/>
    </row>
    <row r="324" spans="1:6" x14ac:dyDescent="0.25">
      <c r="A324" s="226"/>
      <c r="B324" s="226"/>
      <c r="C324" s="226"/>
      <c r="D324" s="226"/>
      <c r="E324" s="241"/>
      <c r="F324" s="226"/>
    </row>
    <row r="325" spans="1:6" x14ac:dyDescent="0.25">
      <c r="A325" s="226"/>
      <c r="B325" s="226"/>
      <c r="C325" s="226"/>
      <c r="D325" s="226"/>
      <c r="E325" s="241"/>
      <c r="F325" s="226"/>
    </row>
    <row r="326" spans="1:6" x14ac:dyDescent="0.25">
      <c r="A326" s="226"/>
      <c r="B326" s="226"/>
      <c r="C326" s="226"/>
      <c r="D326" s="226"/>
      <c r="E326" s="241"/>
      <c r="F326" s="226"/>
    </row>
    <row r="327" spans="1:6" x14ac:dyDescent="0.25">
      <c r="A327" s="226"/>
      <c r="B327" s="226"/>
      <c r="C327" s="226"/>
      <c r="D327" s="226"/>
      <c r="E327" s="241"/>
      <c r="F327" s="226"/>
    </row>
    <row r="328" spans="1:6" x14ac:dyDescent="0.25">
      <c r="A328" s="226"/>
      <c r="B328" s="226"/>
      <c r="C328" s="226"/>
      <c r="D328" s="226"/>
      <c r="E328" s="241"/>
      <c r="F328" s="226"/>
    </row>
    <row r="329" spans="1:6" x14ac:dyDescent="0.25">
      <c r="A329" s="226"/>
      <c r="B329" s="226"/>
      <c r="C329" s="226"/>
      <c r="D329" s="226"/>
      <c r="E329" s="241"/>
      <c r="F329" s="226"/>
    </row>
    <row r="330" spans="1:6" x14ac:dyDescent="0.25">
      <c r="A330" s="226"/>
      <c r="B330" s="226"/>
      <c r="C330" s="226"/>
      <c r="D330" s="226"/>
      <c r="E330" s="241"/>
      <c r="F330" s="226"/>
    </row>
    <row r="331" spans="1:6" x14ac:dyDescent="0.25">
      <c r="A331" s="226"/>
      <c r="B331" s="226"/>
      <c r="C331" s="226"/>
      <c r="D331" s="226"/>
      <c r="E331" s="241"/>
      <c r="F331" s="226"/>
    </row>
    <row r="332" spans="1:6" x14ac:dyDescent="0.25">
      <c r="A332" s="226"/>
      <c r="B332" s="226"/>
      <c r="C332" s="226"/>
      <c r="D332" s="226"/>
      <c r="E332" s="241"/>
      <c r="F332" s="226"/>
    </row>
    <row r="333" spans="1:6" x14ac:dyDescent="0.25">
      <c r="A333" s="226"/>
      <c r="B333" s="226"/>
      <c r="C333" s="226"/>
      <c r="D333" s="226"/>
      <c r="E333" s="241"/>
      <c r="F333" s="226"/>
    </row>
    <row r="334" spans="1:6" x14ac:dyDescent="0.25">
      <c r="A334" s="226"/>
      <c r="B334" s="226"/>
      <c r="C334" s="226"/>
      <c r="D334" s="226"/>
      <c r="E334" s="241"/>
      <c r="F334" s="226"/>
    </row>
    <row r="335" spans="1:6" x14ac:dyDescent="0.25">
      <c r="A335" s="226"/>
      <c r="B335" s="226"/>
      <c r="C335" s="226"/>
      <c r="D335" s="226"/>
      <c r="E335" s="241"/>
      <c r="F335" s="226"/>
    </row>
    <row r="336" spans="1:6" x14ac:dyDescent="0.25">
      <c r="A336" s="226"/>
      <c r="B336" s="226"/>
      <c r="C336" s="226"/>
      <c r="D336" s="226"/>
      <c r="E336" s="241"/>
      <c r="F336" s="226"/>
    </row>
    <row r="337" spans="1:6" x14ac:dyDescent="0.25">
      <c r="A337" s="226"/>
      <c r="B337" s="226"/>
      <c r="C337" s="226"/>
      <c r="D337" s="226"/>
      <c r="E337" s="241"/>
      <c r="F337" s="226"/>
    </row>
    <row r="338" spans="1:6" x14ac:dyDescent="0.25">
      <c r="A338" s="226"/>
      <c r="B338" s="226"/>
      <c r="C338" s="226"/>
      <c r="D338" s="226"/>
      <c r="E338" s="241"/>
      <c r="F338" s="226"/>
    </row>
    <row r="339" spans="1:6" x14ac:dyDescent="0.25">
      <c r="A339" s="226"/>
      <c r="B339" s="226"/>
      <c r="C339" s="226"/>
      <c r="D339" s="226"/>
      <c r="E339" s="241"/>
      <c r="F339" s="226"/>
    </row>
    <row r="340" spans="1:6" x14ac:dyDescent="0.25">
      <c r="A340" s="226"/>
      <c r="B340" s="226"/>
      <c r="C340" s="226"/>
      <c r="D340" s="226"/>
      <c r="E340" s="241"/>
      <c r="F340" s="226"/>
    </row>
    <row r="341" spans="1:6" x14ac:dyDescent="0.25">
      <c r="A341" s="226"/>
      <c r="B341" s="226"/>
      <c r="C341" s="226"/>
      <c r="D341" s="226"/>
      <c r="E341" s="241"/>
      <c r="F341" s="226"/>
    </row>
    <row r="342" spans="1:6" x14ac:dyDescent="0.25">
      <c r="A342" s="226"/>
      <c r="B342" s="226"/>
      <c r="C342" s="226"/>
      <c r="D342" s="226"/>
      <c r="E342" s="241"/>
      <c r="F342" s="226"/>
    </row>
    <row r="343" spans="1:6" x14ac:dyDescent="0.25">
      <c r="A343" s="226"/>
      <c r="B343" s="226"/>
      <c r="C343" s="226"/>
      <c r="D343" s="226"/>
      <c r="E343" s="241"/>
      <c r="F343" s="226"/>
    </row>
    <row r="344" spans="1:6" x14ac:dyDescent="0.25">
      <c r="A344" s="226"/>
      <c r="B344" s="226"/>
      <c r="C344" s="226"/>
      <c r="D344" s="226"/>
      <c r="E344" s="241"/>
      <c r="F344" s="226"/>
    </row>
    <row r="345" spans="1:6" x14ac:dyDescent="0.25">
      <c r="A345" s="226"/>
      <c r="B345" s="226"/>
      <c r="C345" s="226"/>
      <c r="D345" s="226"/>
      <c r="E345" s="241"/>
      <c r="F345" s="226"/>
    </row>
    <row r="346" spans="1:6" x14ac:dyDescent="0.25">
      <c r="A346" s="226"/>
      <c r="B346" s="226"/>
      <c r="C346" s="226"/>
      <c r="D346" s="226"/>
      <c r="E346" s="241"/>
      <c r="F346" s="226"/>
    </row>
    <row r="347" spans="1:6" x14ac:dyDescent="0.25">
      <c r="A347" s="226"/>
      <c r="B347" s="226"/>
      <c r="C347" s="226"/>
      <c r="D347" s="226"/>
      <c r="E347" s="241"/>
      <c r="F347" s="226"/>
    </row>
    <row r="348" spans="1:6" x14ac:dyDescent="0.25">
      <c r="A348" s="226"/>
      <c r="B348" s="226"/>
      <c r="C348" s="226"/>
      <c r="D348" s="226"/>
      <c r="E348" s="241"/>
      <c r="F348" s="226"/>
    </row>
    <row r="349" spans="1:6" x14ac:dyDescent="0.25">
      <c r="A349" s="226"/>
      <c r="B349" s="226"/>
      <c r="C349" s="226"/>
      <c r="D349" s="226"/>
      <c r="E349" s="241"/>
      <c r="F349" s="226"/>
    </row>
    <row r="350" spans="1:6" x14ac:dyDescent="0.25">
      <c r="A350" s="226"/>
      <c r="B350" s="226"/>
      <c r="C350" s="226"/>
      <c r="D350" s="226"/>
      <c r="E350" s="241"/>
      <c r="F350" s="226"/>
    </row>
    <row r="351" spans="1:6" x14ac:dyDescent="0.25">
      <c r="A351" s="226"/>
      <c r="B351" s="226"/>
      <c r="C351" s="226"/>
      <c r="D351" s="226"/>
      <c r="E351" s="241"/>
      <c r="F351" s="226"/>
    </row>
    <row r="352" spans="1:6" x14ac:dyDescent="0.25">
      <c r="A352" s="226"/>
      <c r="B352" s="226"/>
      <c r="C352" s="226"/>
      <c r="D352" s="226"/>
      <c r="E352" s="241"/>
      <c r="F352" s="226"/>
    </row>
    <row r="353" spans="1:6" x14ac:dyDescent="0.25">
      <c r="A353" s="226"/>
      <c r="B353" s="226"/>
      <c r="C353" s="226"/>
      <c r="D353" s="226"/>
      <c r="E353" s="241"/>
      <c r="F353" s="226"/>
    </row>
    <row r="354" spans="1:6" x14ac:dyDescent="0.25">
      <c r="A354" s="226"/>
      <c r="B354" s="226"/>
      <c r="C354" s="226"/>
      <c r="D354" s="226"/>
      <c r="E354" s="241"/>
      <c r="F354" s="226"/>
    </row>
    <row r="355" spans="1:6" x14ac:dyDescent="0.25">
      <c r="A355" s="226"/>
      <c r="B355" s="226"/>
      <c r="C355" s="226"/>
      <c r="D355" s="226"/>
      <c r="E355" s="241"/>
      <c r="F355" s="226"/>
    </row>
    <row r="356" spans="1:6" x14ac:dyDescent="0.25">
      <c r="A356" s="226"/>
      <c r="B356" s="226"/>
      <c r="C356" s="226"/>
      <c r="D356" s="226"/>
      <c r="E356" s="241"/>
      <c r="F356" s="226"/>
    </row>
    <row r="357" spans="1:6" x14ac:dyDescent="0.25">
      <c r="A357" s="226"/>
      <c r="B357" s="226"/>
      <c r="C357" s="226"/>
      <c r="D357" s="226"/>
      <c r="E357" s="241"/>
      <c r="F357" s="226"/>
    </row>
    <row r="358" spans="1:6" x14ac:dyDescent="0.25">
      <c r="A358" s="226"/>
      <c r="B358" s="226"/>
      <c r="C358" s="226"/>
      <c r="D358" s="226"/>
      <c r="E358" s="241"/>
      <c r="F358" s="226"/>
    </row>
    <row r="359" spans="1:6" x14ac:dyDescent="0.25">
      <c r="A359" s="226"/>
      <c r="B359" s="226"/>
      <c r="C359" s="226"/>
      <c r="D359" s="226"/>
      <c r="E359" s="241"/>
      <c r="F359" s="226"/>
    </row>
    <row r="360" spans="1:6" x14ac:dyDescent="0.25">
      <c r="A360" s="226"/>
      <c r="B360" s="226"/>
      <c r="C360" s="226"/>
      <c r="D360" s="226"/>
      <c r="E360" s="241"/>
      <c r="F360" s="226"/>
    </row>
    <row r="361" spans="1:6" x14ac:dyDescent="0.25">
      <c r="A361" s="226"/>
      <c r="B361" s="226"/>
      <c r="C361" s="226"/>
      <c r="D361" s="226"/>
      <c r="E361" s="241"/>
      <c r="F361" s="226"/>
    </row>
    <row r="362" spans="1:6" x14ac:dyDescent="0.25">
      <c r="A362" s="226"/>
      <c r="B362" s="226"/>
      <c r="C362" s="226"/>
      <c r="D362" s="226"/>
      <c r="E362" s="241"/>
      <c r="F362" s="226"/>
    </row>
    <row r="363" spans="1:6" x14ac:dyDescent="0.25">
      <c r="A363" s="226"/>
      <c r="B363" s="226"/>
      <c r="C363" s="226"/>
      <c r="D363" s="226"/>
      <c r="E363" s="241"/>
      <c r="F363" s="226"/>
    </row>
    <row r="364" spans="1:6" x14ac:dyDescent="0.25">
      <c r="A364" s="226"/>
      <c r="B364" s="226"/>
      <c r="C364" s="226"/>
      <c r="D364" s="226"/>
      <c r="E364" s="241"/>
      <c r="F364" s="226"/>
    </row>
    <row r="365" spans="1:6" x14ac:dyDescent="0.25">
      <c r="A365" s="226"/>
      <c r="B365" s="226"/>
      <c r="C365" s="226"/>
      <c r="D365" s="226"/>
      <c r="E365" s="241"/>
      <c r="F365" s="226"/>
    </row>
    <row r="366" spans="1:6" x14ac:dyDescent="0.25">
      <c r="A366" s="226"/>
      <c r="B366" s="226"/>
      <c r="C366" s="226"/>
      <c r="D366" s="226"/>
      <c r="E366" s="241"/>
      <c r="F366" s="226"/>
    </row>
    <row r="367" spans="1:6" x14ac:dyDescent="0.25">
      <c r="A367" s="226"/>
      <c r="B367" s="226"/>
      <c r="C367" s="226"/>
      <c r="D367" s="226"/>
      <c r="E367" s="241"/>
      <c r="F367" s="226"/>
    </row>
    <row r="368" spans="1:6" x14ac:dyDescent="0.25">
      <c r="A368" s="226"/>
      <c r="B368" s="226"/>
      <c r="C368" s="226"/>
      <c r="D368" s="226"/>
      <c r="E368" s="241"/>
      <c r="F368" s="226"/>
    </row>
    <row r="369" spans="1:6" x14ac:dyDescent="0.25">
      <c r="A369" s="226"/>
      <c r="B369" s="226"/>
      <c r="C369" s="226"/>
      <c r="D369" s="226"/>
      <c r="E369" s="241"/>
      <c r="F369" s="226"/>
    </row>
    <row r="370" spans="1:6" x14ac:dyDescent="0.25">
      <c r="A370" s="226"/>
      <c r="B370" s="226"/>
      <c r="C370" s="226"/>
      <c r="D370" s="226"/>
      <c r="E370" s="241"/>
      <c r="F370" s="226"/>
    </row>
    <row r="371" spans="1:6" x14ac:dyDescent="0.25">
      <c r="A371" s="226"/>
      <c r="B371" s="226"/>
      <c r="C371" s="226"/>
      <c r="D371" s="226"/>
      <c r="E371" s="241"/>
      <c r="F371" s="226"/>
    </row>
    <row r="372" spans="1:6" x14ac:dyDescent="0.25">
      <c r="A372" s="226"/>
      <c r="B372" s="226"/>
      <c r="C372" s="226"/>
      <c r="D372" s="226"/>
      <c r="E372" s="241"/>
      <c r="F372" s="226"/>
    </row>
    <row r="373" spans="1:6" x14ac:dyDescent="0.25">
      <c r="A373" s="226"/>
      <c r="B373" s="226"/>
      <c r="C373" s="226"/>
      <c r="D373" s="226"/>
      <c r="E373" s="241"/>
      <c r="F373" s="226"/>
    </row>
    <row r="374" spans="1:6" x14ac:dyDescent="0.25">
      <c r="A374" s="226"/>
      <c r="B374" s="226"/>
      <c r="C374" s="226"/>
      <c r="D374" s="226"/>
      <c r="E374" s="241"/>
      <c r="F374" s="226"/>
    </row>
    <row r="375" spans="1:6" x14ac:dyDescent="0.25">
      <c r="A375" s="226"/>
      <c r="B375" s="226"/>
      <c r="C375" s="226"/>
      <c r="D375" s="226"/>
      <c r="E375" s="241"/>
      <c r="F375" s="226"/>
    </row>
    <row r="376" spans="1:6" x14ac:dyDescent="0.25">
      <c r="A376" s="226"/>
      <c r="B376" s="226"/>
      <c r="C376" s="226"/>
      <c r="D376" s="226"/>
      <c r="E376" s="241"/>
      <c r="F376" s="226"/>
    </row>
    <row r="377" spans="1:6" x14ac:dyDescent="0.25">
      <c r="A377" s="226"/>
      <c r="B377" s="226"/>
      <c r="C377" s="226"/>
      <c r="D377" s="226"/>
      <c r="E377" s="241"/>
      <c r="F377" s="226"/>
    </row>
    <row r="378" spans="1:6" x14ac:dyDescent="0.25">
      <c r="A378" s="226"/>
      <c r="B378" s="226"/>
      <c r="C378" s="226"/>
      <c r="D378" s="226"/>
      <c r="E378" s="241"/>
      <c r="F378" s="226"/>
    </row>
    <row r="379" spans="1:6" x14ac:dyDescent="0.25">
      <c r="A379" s="226"/>
      <c r="B379" s="226"/>
      <c r="C379" s="226"/>
      <c r="D379" s="226"/>
      <c r="E379" s="241"/>
      <c r="F379" s="226"/>
    </row>
    <row r="380" spans="1:6" x14ac:dyDescent="0.25">
      <c r="A380" s="226"/>
      <c r="B380" s="226"/>
      <c r="C380" s="226"/>
      <c r="D380" s="226"/>
      <c r="E380" s="241"/>
      <c r="F380" s="226"/>
    </row>
    <row r="381" spans="1:6" x14ac:dyDescent="0.25">
      <c r="A381" s="226"/>
      <c r="B381" s="226"/>
      <c r="C381" s="226"/>
      <c r="D381" s="226"/>
      <c r="E381" s="241"/>
      <c r="F381" s="226"/>
    </row>
    <row r="382" spans="1:6" x14ac:dyDescent="0.25">
      <c r="A382" s="226"/>
      <c r="B382" s="226"/>
      <c r="C382" s="226"/>
      <c r="D382" s="226"/>
      <c r="E382" s="241"/>
      <c r="F382" s="226"/>
    </row>
    <row r="383" spans="1:6" x14ac:dyDescent="0.25">
      <c r="A383" s="226"/>
      <c r="B383" s="226"/>
      <c r="C383" s="226"/>
      <c r="D383" s="226"/>
      <c r="E383" s="241"/>
      <c r="F383" s="226"/>
    </row>
    <row r="384" spans="1:6" x14ac:dyDescent="0.25">
      <c r="A384" s="226"/>
      <c r="B384" s="226"/>
      <c r="C384" s="226"/>
      <c r="D384" s="226"/>
      <c r="E384" s="241"/>
      <c r="F384" s="226"/>
    </row>
    <row r="385" spans="1:6" x14ac:dyDescent="0.25">
      <c r="A385" s="226"/>
      <c r="B385" s="226"/>
      <c r="C385" s="226"/>
      <c r="D385" s="226"/>
      <c r="E385" s="241"/>
      <c r="F385" s="226"/>
    </row>
    <row r="386" spans="1:6" x14ac:dyDescent="0.25">
      <c r="A386" s="226"/>
      <c r="B386" s="226"/>
      <c r="C386" s="226"/>
      <c r="D386" s="226"/>
      <c r="E386" s="241"/>
      <c r="F386" s="226"/>
    </row>
    <row r="387" spans="1:6" x14ac:dyDescent="0.25">
      <c r="A387" s="226"/>
      <c r="B387" s="226"/>
      <c r="C387" s="226"/>
      <c r="D387" s="226"/>
      <c r="E387" s="241"/>
      <c r="F387" s="226"/>
    </row>
    <row r="388" spans="1:6" x14ac:dyDescent="0.25">
      <c r="A388" s="226"/>
      <c r="B388" s="226"/>
      <c r="C388" s="226"/>
      <c r="D388" s="226"/>
      <c r="E388" s="241"/>
      <c r="F388" s="226"/>
    </row>
    <row r="389" spans="1:6" x14ac:dyDescent="0.25">
      <c r="A389" s="226"/>
      <c r="B389" s="226"/>
      <c r="C389" s="226"/>
      <c r="D389" s="226"/>
      <c r="E389" s="241"/>
      <c r="F389" s="226"/>
    </row>
    <row r="390" spans="1:6" x14ac:dyDescent="0.25">
      <c r="A390" s="226"/>
      <c r="B390" s="226"/>
      <c r="C390" s="226"/>
      <c r="D390" s="226"/>
      <c r="E390" s="241"/>
      <c r="F390" s="226"/>
    </row>
    <row r="391" spans="1:6" x14ac:dyDescent="0.25">
      <c r="A391" s="226"/>
      <c r="B391" s="226"/>
      <c r="C391" s="226"/>
      <c r="D391" s="226"/>
      <c r="E391" s="241"/>
      <c r="F391" s="226"/>
    </row>
    <row r="392" spans="1:6" x14ac:dyDescent="0.25">
      <c r="A392" s="226"/>
      <c r="B392" s="226"/>
      <c r="C392" s="226"/>
      <c r="D392" s="226"/>
      <c r="E392" s="241"/>
      <c r="F392" s="226"/>
    </row>
    <row r="393" spans="1:6" x14ac:dyDescent="0.25">
      <c r="A393" s="226"/>
      <c r="B393" s="226"/>
      <c r="C393" s="226"/>
      <c r="D393" s="226"/>
      <c r="E393" s="241"/>
      <c r="F393" s="226"/>
    </row>
    <row r="394" spans="1:6" x14ac:dyDescent="0.25">
      <c r="A394" s="226"/>
      <c r="B394" s="226"/>
      <c r="C394" s="226"/>
      <c r="D394" s="226"/>
      <c r="E394" s="241"/>
      <c r="F394" s="226"/>
    </row>
    <row r="395" spans="1:6" x14ac:dyDescent="0.25">
      <c r="A395" s="226"/>
      <c r="B395" s="226"/>
      <c r="C395" s="226"/>
      <c r="D395" s="226"/>
      <c r="E395" s="241"/>
      <c r="F395" s="226"/>
    </row>
    <row r="396" spans="1:6" x14ac:dyDescent="0.25">
      <c r="A396" s="226"/>
      <c r="B396" s="226"/>
      <c r="C396" s="226"/>
      <c r="D396" s="226"/>
      <c r="E396" s="241"/>
      <c r="F396" s="226"/>
    </row>
    <row r="397" spans="1:6" x14ac:dyDescent="0.25">
      <c r="A397" s="226"/>
      <c r="B397" s="226"/>
      <c r="C397" s="226"/>
      <c r="D397" s="226"/>
      <c r="E397" s="241"/>
      <c r="F397" s="226"/>
    </row>
    <row r="398" spans="1:6" x14ac:dyDescent="0.25">
      <c r="A398" s="226"/>
      <c r="B398" s="226"/>
      <c r="C398" s="226"/>
      <c r="D398" s="226"/>
      <c r="E398" s="241"/>
      <c r="F398" s="226"/>
    </row>
    <row r="399" spans="1:6" x14ac:dyDescent="0.25">
      <c r="A399" s="226"/>
      <c r="B399" s="226"/>
      <c r="C399" s="226"/>
      <c r="D399" s="226"/>
      <c r="E399" s="241"/>
      <c r="F399" s="226"/>
    </row>
    <row r="400" spans="1:6" x14ac:dyDescent="0.25">
      <c r="A400" s="226"/>
      <c r="B400" s="226"/>
      <c r="C400" s="226"/>
      <c r="D400" s="226"/>
      <c r="E400" s="241"/>
      <c r="F400" s="226"/>
    </row>
    <row r="401" spans="1:6" x14ac:dyDescent="0.25">
      <c r="A401" s="226"/>
      <c r="B401" s="226"/>
      <c r="C401" s="226"/>
      <c r="D401" s="226"/>
      <c r="E401" s="241"/>
      <c r="F401" s="226"/>
    </row>
    <row r="402" spans="1:6" x14ac:dyDescent="0.25">
      <c r="A402" s="226"/>
      <c r="B402" s="226"/>
      <c r="C402" s="226"/>
      <c r="D402" s="226"/>
      <c r="E402" s="241"/>
      <c r="F402" s="226"/>
    </row>
    <row r="403" spans="1:6" x14ac:dyDescent="0.25">
      <c r="A403" s="226"/>
      <c r="B403" s="226"/>
      <c r="C403" s="226"/>
      <c r="D403" s="226"/>
      <c r="E403" s="241"/>
      <c r="F403" s="226"/>
    </row>
    <row r="404" spans="1:6" x14ac:dyDescent="0.25">
      <c r="A404" s="226"/>
      <c r="B404" s="226"/>
      <c r="C404" s="226"/>
      <c r="D404" s="226"/>
      <c r="E404" s="241"/>
      <c r="F404" s="226"/>
    </row>
    <row r="405" spans="1:6" x14ac:dyDescent="0.25">
      <c r="A405" s="226"/>
      <c r="B405" s="226"/>
      <c r="C405" s="226"/>
      <c r="D405" s="226"/>
      <c r="E405" s="241"/>
      <c r="F405" s="226"/>
    </row>
    <row r="406" spans="1:6" x14ac:dyDescent="0.25">
      <c r="A406" s="226"/>
      <c r="B406" s="226"/>
      <c r="C406" s="226"/>
      <c r="D406" s="226"/>
      <c r="E406" s="241"/>
      <c r="F406" s="226"/>
    </row>
    <row r="407" spans="1:6" x14ac:dyDescent="0.25">
      <c r="A407" s="226"/>
      <c r="B407" s="226"/>
      <c r="C407" s="226"/>
      <c r="D407" s="226"/>
      <c r="E407" s="241"/>
      <c r="F407" s="226"/>
    </row>
    <row r="408" spans="1:6" x14ac:dyDescent="0.25">
      <c r="A408" s="226"/>
      <c r="B408" s="226"/>
      <c r="C408" s="226"/>
      <c r="D408" s="226"/>
      <c r="E408" s="241"/>
      <c r="F408" s="226"/>
    </row>
    <row r="409" spans="1:6" x14ac:dyDescent="0.25">
      <c r="A409" s="226"/>
      <c r="B409" s="226"/>
      <c r="C409" s="226"/>
      <c r="D409" s="226"/>
      <c r="E409" s="241"/>
      <c r="F409" s="226"/>
    </row>
    <row r="410" spans="1:6" x14ac:dyDescent="0.25">
      <c r="A410" s="226"/>
      <c r="B410" s="226"/>
      <c r="C410" s="226"/>
      <c r="D410" s="226"/>
      <c r="E410" s="241"/>
      <c r="F410" s="226"/>
    </row>
    <row r="411" spans="1:6" x14ac:dyDescent="0.25">
      <c r="A411" s="226"/>
      <c r="B411" s="226"/>
      <c r="C411" s="226"/>
      <c r="D411" s="226"/>
      <c r="E411" s="241"/>
      <c r="F411" s="226"/>
    </row>
    <row r="412" spans="1:6" x14ac:dyDescent="0.25">
      <c r="A412" s="226"/>
      <c r="B412" s="226"/>
      <c r="C412" s="226"/>
      <c r="D412" s="226"/>
      <c r="E412" s="241"/>
      <c r="F412" s="226"/>
    </row>
    <row r="413" spans="1:6" x14ac:dyDescent="0.25">
      <c r="A413" s="226"/>
      <c r="B413" s="226"/>
      <c r="C413" s="226"/>
      <c r="D413" s="226"/>
      <c r="E413" s="241"/>
      <c r="F413" s="226"/>
    </row>
    <row r="414" spans="1:6" x14ac:dyDescent="0.25">
      <c r="A414" s="226"/>
      <c r="B414" s="226"/>
      <c r="C414" s="226"/>
      <c r="D414" s="226"/>
      <c r="E414" s="241"/>
      <c r="F414" s="226"/>
    </row>
    <row r="415" spans="1:6" x14ac:dyDescent="0.25">
      <c r="A415" s="226"/>
      <c r="B415" s="226"/>
      <c r="C415" s="226"/>
      <c r="D415" s="226"/>
      <c r="E415" s="241"/>
      <c r="F415" s="226"/>
    </row>
    <row r="416" spans="1:6" x14ac:dyDescent="0.25">
      <c r="A416" s="226"/>
      <c r="B416" s="226"/>
      <c r="C416" s="226"/>
      <c r="D416" s="226"/>
      <c r="E416" s="241"/>
      <c r="F416" s="226"/>
    </row>
    <row r="417" spans="1:6" x14ac:dyDescent="0.25">
      <c r="A417" s="226"/>
      <c r="B417" s="226"/>
      <c r="C417" s="226"/>
      <c r="D417" s="226"/>
      <c r="E417" s="241"/>
      <c r="F417" s="226"/>
    </row>
    <row r="418" spans="1:6" x14ac:dyDescent="0.25">
      <c r="A418" s="226"/>
      <c r="B418" s="226"/>
      <c r="C418" s="226"/>
      <c r="D418" s="226"/>
      <c r="E418" s="241"/>
      <c r="F418" s="226"/>
    </row>
    <row r="419" spans="1:6" x14ac:dyDescent="0.25">
      <c r="A419" s="226"/>
      <c r="B419" s="226"/>
      <c r="C419" s="226"/>
      <c r="D419" s="226"/>
      <c r="E419" s="241"/>
      <c r="F419" s="226"/>
    </row>
    <row r="420" spans="1:6" x14ac:dyDescent="0.25">
      <c r="A420" s="226"/>
      <c r="B420" s="226"/>
      <c r="C420" s="226"/>
      <c r="D420" s="226"/>
      <c r="E420" s="241"/>
      <c r="F420" s="226"/>
    </row>
    <row r="421" spans="1:6" x14ac:dyDescent="0.25">
      <c r="A421" s="226"/>
      <c r="B421" s="226"/>
      <c r="C421" s="226"/>
      <c r="D421" s="226"/>
      <c r="E421" s="241"/>
      <c r="F421" s="226"/>
    </row>
    <row r="422" spans="1:6" x14ac:dyDescent="0.25">
      <c r="A422" s="226"/>
      <c r="B422" s="226"/>
      <c r="C422" s="226"/>
      <c r="D422" s="226"/>
      <c r="E422" s="241"/>
      <c r="F422" s="226"/>
    </row>
    <row r="423" spans="1:6" x14ac:dyDescent="0.25">
      <c r="A423" s="226"/>
      <c r="B423" s="226"/>
      <c r="C423" s="226"/>
      <c r="D423" s="226"/>
      <c r="E423" s="241"/>
      <c r="F423" s="226"/>
    </row>
    <row r="424" spans="1:6" x14ac:dyDescent="0.25">
      <c r="A424" s="226"/>
      <c r="B424" s="226"/>
      <c r="C424" s="226"/>
      <c r="D424" s="226"/>
      <c r="E424" s="241"/>
      <c r="F424" s="226"/>
    </row>
    <row r="425" spans="1:6" x14ac:dyDescent="0.25">
      <c r="A425" s="226"/>
      <c r="B425" s="226"/>
      <c r="C425" s="226"/>
      <c r="D425" s="226"/>
      <c r="E425" s="241"/>
      <c r="F425" s="226"/>
    </row>
    <row r="426" spans="1:6" x14ac:dyDescent="0.25">
      <c r="A426" s="226"/>
      <c r="B426" s="226"/>
      <c r="C426" s="226"/>
      <c r="D426" s="226"/>
      <c r="E426" s="241"/>
      <c r="F426" s="226"/>
    </row>
    <row r="427" spans="1:6" x14ac:dyDescent="0.25">
      <c r="A427" s="226"/>
      <c r="B427" s="226"/>
      <c r="C427" s="226"/>
      <c r="D427" s="226"/>
      <c r="E427" s="241"/>
      <c r="F427" s="226"/>
    </row>
    <row r="428" spans="1:6" x14ac:dyDescent="0.25">
      <c r="A428" s="226"/>
      <c r="B428" s="226"/>
      <c r="C428" s="226"/>
      <c r="D428" s="226"/>
      <c r="E428" s="241"/>
      <c r="F428" s="226"/>
    </row>
    <row r="429" spans="1:6" x14ac:dyDescent="0.25">
      <c r="A429" s="226"/>
      <c r="B429" s="226"/>
      <c r="C429" s="226"/>
      <c r="D429" s="226"/>
      <c r="E429" s="241"/>
      <c r="F429" s="226"/>
    </row>
    <row r="430" spans="1:6" x14ac:dyDescent="0.25">
      <c r="A430" s="226"/>
      <c r="B430" s="226"/>
      <c r="C430" s="226"/>
      <c r="D430" s="226"/>
      <c r="E430" s="241"/>
      <c r="F430" s="226"/>
    </row>
    <row r="431" spans="1:6" x14ac:dyDescent="0.25">
      <c r="A431" s="226"/>
      <c r="B431" s="226"/>
      <c r="C431" s="226"/>
      <c r="D431" s="226"/>
      <c r="E431" s="241"/>
      <c r="F431" s="226"/>
    </row>
    <row r="432" spans="1:6" x14ac:dyDescent="0.25">
      <c r="A432" s="226"/>
      <c r="B432" s="226"/>
      <c r="C432" s="226"/>
      <c r="D432" s="226"/>
      <c r="E432" s="241"/>
      <c r="F432" s="226"/>
    </row>
    <row r="433" spans="1:6" x14ac:dyDescent="0.25">
      <c r="A433" s="226"/>
      <c r="B433" s="226"/>
      <c r="C433" s="226"/>
      <c r="D433" s="226"/>
      <c r="E433" s="241"/>
      <c r="F433" s="226"/>
    </row>
    <row r="434" spans="1:6" x14ac:dyDescent="0.25">
      <c r="A434" s="226"/>
      <c r="B434" s="226"/>
      <c r="C434" s="226"/>
      <c r="D434" s="226"/>
      <c r="E434" s="241"/>
      <c r="F434" s="226"/>
    </row>
    <row r="435" spans="1:6" x14ac:dyDescent="0.25">
      <c r="A435" s="226"/>
      <c r="B435" s="226"/>
      <c r="C435" s="226"/>
      <c r="D435" s="226"/>
      <c r="E435" s="241"/>
      <c r="F435" s="226"/>
    </row>
    <row r="436" spans="1:6" x14ac:dyDescent="0.25">
      <c r="A436" s="226"/>
      <c r="B436" s="226"/>
      <c r="C436" s="226"/>
      <c r="D436" s="226"/>
      <c r="E436" s="241"/>
      <c r="F436" s="226"/>
    </row>
    <row r="437" spans="1:6" x14ac:dyDescent="0.25">
      <c r="A437" s="226"/>
      <c r="B437" s="226"/>
      <c r="C437" s="226"/>
      <c r="D437" s="226"/>
      <c r="E437" s="241"/>
      <c r="F437" s="226"/>
    </row>
    <row r="438" spans="1:6" x14ac:dyDescent="0.25">
      <c r="A438" s="226"/>
      <c r="B438" s="226"/>
      <c r="C438" s="226"/>
      <c r="D438" s="226"/>
      <c r="E438" s="241"/>
      <c r="F438" s="226"/>
    </row>
    <row r="439" spans="1:6" x14ac:dyDescent="0.25">
      <c r="A439" s="226"/>
      <c r="B439" s="226"/>
      <c r="C439" s="226"/>
      <c r="D439" s="226"/>
      <c r="E439" s="241"/>
      <c r="F439" s="226"/>
    </row>
    <row r="440" spans="1:6" x14ac:dyDescent="0.25">
      <c r="A440" s="226"/>
      <c r="B440" s="226"/>
      <c r="C440" s="226"/>
      <c r="D440" s="226"/>
      <c r="E440" s="241"/>
      <c r="F440" s="226"/>
    </row>
    <row r="441" spans="1:6" x14ac:dyDescent="0.25">
      <c r="A441" s="226"/>
      <c r="B441" s="226"/>
      <c r="C441" s="226"/>
      <c r="D441" s="226"/>
      <c r="E441" s="241"/>
      <c r="F441" s="226"/>
    </row>
    <row r="442" spans="1:6" x14ac:dyDescent="0.25">
      <c r="A442" s="226"/>
      <c r="B442" s="226"/>
      <c r="C442" s="226"/>
      <c r="D442" s="226"/>
      <c r="E442" s="241"/>
      <c r="F442" s="226"/>
    </row>
    <row r="443" spans="1:6" x14ac:dyDescent="0.25">
      <c r="A443" s="226"/>
      <c r="B443" s="226"/>
      <c r="C443" s="226"/>
      <c r="D443" s="226"/>
      <c r="E443" s="241"/>
      <c r="F443" s="226"/>
    </row>
    <row r="444" spans="1:6" x14ac:dyDescent="0.25">
      <c r="A444" s="226"/>
      <c r="B444" s="226"/>
      <c r="C444" s="226"/>
      <c r="D444" s="226"/>
      <c r="E444" s="241"/>
      <c r="F444" s="226"/>
    </row>
    <row r="445" spans="1:6" x14ac:dyDescent="0.25">
      <c r="A445" s="226"/>
      <c r="B445" s="226"/>
      <c r="C445" s="226"/>
      <c r="D445" s="226"/>
      <c r="E445" s="241"/>
      <c r="F445" s="226"/>
    </row>
    <row r="446" spans="1:6" x14ac:dyDescent="0.25">
      <c r="A446" s="226"/>
      <c r="B446" s="226"/>
      <c r="C446" s="226"/>
      <c r="D446" s="226"/>
      <c r="E446" s="241"/>
      <c r="F446" s="226"/>
    </row>
    <row r="447" spans="1:6" x14ac:dyDescent="0.25">
      <c r="A447" s="226"/>
      <c r="B447" s="226"/>
      <c r="C447" s="226"/>
      <c r="D447" s="226"/>
      <c r="E447" s="241"/>
      <c r="F447" s="226"/>
    </row>
    <row r="448" spans="1:6" x14ac:dyDescent="0.25">
      <c r="A448" s="226"/>
      <c r="B448" s="226"/>
      <c r="C448" s="226"/>
      <c r="D448" s="226"/>
      <c r="E448" s="241"/>
      <c r="F448" s="226"/>
    </row>
    <row r="449" spans="1:6" x14ac:dyDescent="0.25">
      <c r="A449" s="226"/>
      <c r="B449" s="226"/>
      <c r="C449" s="226"/>
      <c r="D449" s="226"/>
      <c r="E449" s="241"/>
      <c r="F449" s="226"/>
    </row>
    <row r="450" spans="1:6" x14ac:dyDescent="0.25">
      <c r="A450" s="226"/>
      <c r="B450" s="226"/>
      <c r="C450" s="226"/>
      <c r="D450" s="226"/>
      <c r="E450" s="241"/>
      <c r="F450" s="226"/>
    </row>
    <row r="451" spans="1:6" x14ac:dyDescent="0.25">
      <c r="A451" s="226"/>
      <c r="B451" s="226"/>
      <c r="C451" s="226"/>
      <c r="D451" s="226"/>
      <c r="E451" s="241"/>
      <c r="F451" s="226"/>
    </row>
    <row r="452" spans="1:6" x14ac:dyDescent="0.25">
      <c r="A452" s="226"/>
      <c r="B452" s="226"/>
      <c r="C452" s="226"/>
      <c r="D452" s="226"/>
      <c r="E452" s="241"/>
      <c r="F452" s="226"/>
    </row>
    <row r="453" spans="1:6" x14ac:dyDescent="0.25">
      <c r="A453" s="226"/>
      <c r="B453" s="226"/>
      <c r="C453" s="226"/>
      <c r="D453" s="226"/>
      <c r="E453" s="241"/>
      <c r="F453" s="226"/>
    </row>
    <row r="454" spans="1:6" x14ac:dyDescent="0.25">
      <c r="A454" s="226"/>
      <c r="B454" s="226"/>
      <c r="C454" s="226"/>
      <c r="D454" s="226"/>
      <c r="E454" s="241"/>
      <c r="F454" s="226"/>
    </row>
    <row r="455" spans="1:6" x14ac:dyDescent="0.25">
      <c r="A455" s="226"/>
      <c r="B455" s="226"/>
      <c r="C455" s="226"/>
      <c r="D455" s="226"/>
      <c r="E455" s="241"/>
      <c r="F455" s="226"/>
    </row>
    <row r="456" spans="1:6" x14ac:dyDescent="0.25">
      <c r="A456" s="226"/>
      <c r="B456" s="226"/>
      <c r="C456" s="226"/>
      <c r="D456" s="226"/>
      <c r="E456" s="241"/>
      <c r="F456" s="226"/>
    </row>
    <row r="457" spans="1:6" x14ac:dyDescent="0.25">
      <c r="A457" s="226"/>
      <c r="B457" s="226"/>
      <c r="C457" s="226"/>
      <c r="D457" s="226"/>
      <c r="E457" s="241"/>
      <c r="F457" s="226"/>
    </row>
    <row r="458" spans="1:6" x14ac:dyDescent="0.25">
      <c r="A458" s="226"/>
      <c r="B458" s="226"/>
      <c r="C458" s="226"/>
      <c r="D458" s="226"/>
      <c r="E458" s="241"/>
      <c r="F458" s="226"/>
    </row>
    <row r="459" spans="1:6" x14ac:dyDescent="0.25">
      <c r="A459" s="226"/>
      <c r="B459" s="226"/>
      <c r="C459" s="226"/>
      <c r="D459" s="226"/>
      <c r="E459" s="241"/>
      <c r="F459" s="226"/>
    </row>
    <row r="460" spans="1:6" x14ac:dyDescent="0.25">
      <c r="A460" s="226"/>
      <c r="B460" s="226"/>
      <c r="C460" s="226"/>
      <c r="D460" s="226"/>
      <c r="E460" s="241"/>
      <c r="F460" s="226"/>
    </row>
    <row r="461" spans="1:6" x14ac:dyDescent="0.25">
      <c r="A461" s="226"/>
      <c r="B461" s="226"/>
      <c r="C461" s="226"/>
      <c r="D461" s="226"/>
      <c r="E461" s="241"/>
      <c r="F461" s="226"/>
    </row>
    <row r="462" spans="1:6" x14ac:dyDescent="0.25">
      <c r="A462" s="226"/>
      <c r="B462" s="226"/>
      <c r="C462" s="226"/>
      <c r="D462" s="226"/>
      <c r="E462" s="241"/>
      <c r="F462" s="226"/>
    </row>
    <row r="463" spans="1:6" x14ac:dyDescent="0.25">
      <c r="A463" s="226"/>
      <c r="B463" s="226"/>
      <c r="C463" s="226"/>
      <c r="D463" s="226"/>
      <c r="E463" s="241"/>
      <c r="F463" s="226"/>
    </row>
    <row r="464" spans="1:6" x14ac:dyDescent="0.25">
      <c r="A464" s="226"/>
      <c r="B464" s="226"/>
      <c r="C464" s="226"/>
      <c r="D464" s="226"/>
      <c r="E464" s="241"/>
      <c r="F464" s="226"/>
    </row>
    <row r="465" spans="1:6" x14ac:dyDescent="0.25">
      <c r="A465" s="226"/>
      <c r="B465" s="226"/>
      <c r="C465" s="226"/>
      <c r="D465" s="226"/>
      <c r="E465" s="241"/>
      <c r="F465" s="226"/>
    </row>
    <row r="466" spans="1:6" x14ac:dyDescent="0.25">
      <c r="A466" s="226"/>
      <c r="B466" s="226"/>
      <c r="C466" s="226"/>
      <c r="D466" s="226"/>
      <c r="E466" s="241"/>
      <c r="F466" s="226"/>
    </row>
    <row r="467" spans="1:6" x14ac:dyDescent="0.25">
      <c r="A467" s="226"/>
      <c r="B467" s="226"/>
      <c r="C467" s="226"/>
      <c r="D467" s="226"/>
      <c r="E467" s="241"/>
      <c r="F467" s="226"/>
    </row>
    <row r="468" spans="1:6" x14ac:dyDescent="0.25">
      <c r="A468" s="226"/>
      <c r="B468" s="226"/>
      <c r="C468" s="226"/>
      <c r="D468" s="226"/>
      <c r="E468" s="241"/>
      <c r="F468" s="226"/>
    </row>
    <row r="469" spans="1:6" x14ac:dyDescent="0.25">
      <c r="A469" s="226"/>
      <c r="B469" s="226"/>
      <c r="C469" s="226"/>
      <c r="D469" s="226"/>
      <c r="E469" s="241"/>
      <c r="F469" s="226"/>
    </row>
    <row r="470" spans="1:6" x14ac:dyDescent="0.25">
      <c r="A470" s="226"/>
      <c r="B470" s="226"/>
      <c r="C470" s="226"/>
      <c r="D470" s="226"/>
      <c r="E470" s="241"/>
      <c r="F470" s="226"/>
    </row>
    <row r="471" spans="1:6" x14ac:dyDescent="0.25">
      <c r="A471" s="226"/>
      <c r="B471" s="226"/>
      <c r="C471" s="226"/>
      <c r="D471" s="226"/>
      <c r="E471" s="241"/>
      <c r="F471" s="226"/>
    </row>
    <row r="472" spans="1:6" x14ac:dyDescent="0.25">
      <c r="A472" s="226"/>
      <c r="B472" s="226"/>
      <c r="C472" s="226"/>
      <c r="D472" s="226"/>
      <c r="E472" s="241"/>
      <c r="F472" s="226"/>
    </row>
    <row r="473" spans="1:6" x14ac:dyDescent="0.25">
      <c r="A473" s="226"/>
      <c r="B473" s="226"/>
      <c r="C473" s="226"/>
      <c r="D473" s="226"/>
      <c r="E473" s="241"/>
      <c r="F473" s="226"/>
    </row>
    <row r="474" spans="1:6" x14ac:dyDescent="0.25">
      <c r="A474" s="226"/>
      <c r="B474" s="226"/>
      <c r="C474" s="226"/>
      <c r="D474" s="226"/>
      <c r="E474" s="241"/>
      <c r="F474" s="226"/>
    </row>
    <row r="475" spans="1:6" x14ac:dyDescent="0.25">
      <c r="A475" s="226"/>
      <c r="B475" s="226"/>
      <c r="C475" s="226"/>
      <c r="D475" s="226"/>
      <c r="E475" s="241"/>
      <c r="F475" s="226"/>
    </row>
    <row r="476" spans="1:6" x14ac:dyDescent="0.25">
      <c r="A476" s="226"/>
      <c r="B476" s="226"/>
      <c r="C476" s="226"/>
      <c r="D476" s="226"/>
      <c r="E476" s="241"/>
      <c r="F476" s="226"/>
    </row>
    <row r="477" spans="1:6" x14ac:dyDescent="0.25">
      <c r="A477" s="226"/>
      <c r="B477" s="226"/>
      <c r="C477" s="226"/>
      <c r="D477" s="226"/>
      <c r="E477" s="241"/>
      <c r="F477" s="226"/>
    </row>
    <row r="478" spans="1:6" x14ac:dyDescent="0.25">
      <c r="A478" s="226"/>
      <c r="B478" s="226"/>
      <c r="C478" s="226"/>
      <c r="D478" s="226"/>
      <c r="E478" s="241"/>
      <c r="F478" s="226"/>
    </row>
    <row r="479" spans="1:6" x14ac:dyDescent="0.25">
      <c r="A479" s="226"/>
      <c r="B479" s="226"/>
      <c r="C479" s="226"/>
      <c r="D479" s="226"/>
      <c r="E479" s="241"/>
      <c r="F479" s="226"/>
    </row>
    <row r="480" spans="1:6" x14ac:dyDescent="0.25">
      <c r="A480" s="226"/>
      <c r="B480" s="226"/>
      <c r="C480" s="226"/>
      <c r="D480" s="226"/>
      <c r="E480" s="241"/>
      <c r="F480" s="226"/>
    </row>
    <row r="481" spans="1:6" x14ac:dyDescent="0.25">
      <c r="A481" s="226"/>
      <c r="B481" s="226"/>
      <c r="C481" s="226"/>
      <c r="D481" s="226"/>
      <c r="E481" s="241"/>
      <c r="F481" s="226"/>
    </row>
    <row r="482" spans="1:6" x14ac:dyDescent="0.25">
      <c r="A482" s="226"/>
      <c r="B482" s="226"/>
      <c r="C482" s="226"/>
      <c r="D482" s="226"/>
      <c r="E482" s="241"/>
      <c r="F482" s="226"/>
    </row>
    <row r="483" spans="1:6" x14ac:dyDescent="0.25">
      <c r="A483" s="226"/>
      <c r="B483" s="226"/>
      <c r="C483" s="226"/>
      <c r="D483" s="226"/>
      <c r="E483" s="241"/>
      <c r="F483" s="226"/>
    </row>
    <row r="484" spans="1:6" x14ac:dyDescent="0.25">
      <c r="A484" s="226"/>
      <c r="B484" s="226"/>
      <c r="C484" s="226"/>
      <c r="D484" s="226"/>
      <c r="E484" s="241"/>
      <c r="F484" s="226"/>
    </row>
    <row r="485" spans="1:6" x14ac:dyDescent="0.25">
      <c r="A485" s="226"/>
      <c r="B485" s="226"/>
      <c r="C485" s="226"/>
      <c r="D485" s="226"/>
      <c r="E485" s="241"/>
      <c r="F485" s="226"/>
    </row>
    <row r="486" spans="1:6" x14ac:dyDescent="0.25">
      <c r="A486" s="226"/>
      <c r="B486" s="226"/>
      <c r="C486" s="226"/>
      <c r="D486" s="226"/>
      <c r="E486" s="241"/>
      <c r="F486" s="226"/>
    </row>
    <row r="487" spans="1:6" x14ac:dyDescent="0.25">
      <c r="A487" s="226"/>
      <c r="B487" s="226"/>
      <c r="C487" s="226"/>
      <c r="D487" s="226"/>
      <c r="E487" s="241"/>
      <c r="F487" s="226"/>
    </row>
    <row r="488" spans="1:6" x14ac:dyDescent="0.25">
      <c r="A488" s="226"/>
      <c r="B488" s="226"/>
      <c r="C488" s="226"/>
      <c r="D488" s="226"/>
      <c r="E488" s="241"/>
      <c r="F488" s="226"/>
    </row>
    <row r="489" spans="1:6" x14ac:dyDescent="0.25">
      <c r="A489" s="226"/>
      <c r="B489" s="226"/>
      <c r="C489" s="226"/>
      <c r="D489" s="226"/>
      <c r="E489" s="241"/>
      <c r="F489" s="226"/>
    </row>
    <row r="490" spans="1:6" x14ac:dyDescent="0.25">
      <c r="A490" s="226"/>
      <c r="B490" s="226"/>
      <c r="C490" s="226"/>
      <c r="D490" s="226"/>
      <c r="E490" s="241"/>
      <c r="F490" s="226"/>
    </row>
    <row r="491" spans="1:6" x14ac:dyDescent="0.25">
      <c r="A491" s="226"/>
      <c r="B491" s="226"/>
      <c r="C491" s="226"/>
      <c r="D491" s="226"/>
      <c r="E491" s="241"/>
      <c r="F491" s="226"/>
    </row>
    <row r="492" spans="1:6" x14ac:dyDescent="0.25">
      <c r="A492" s="226"/>
      <c r="B492" s="226"/>
      <c r="C492" s="226"/>
      <c r="D492" s="226"/>
      <c r="E492" s="241"/>
      <c r="F492" s="226"/>
    </row>
    <row r="493" spans="1:6" x14ac:dyDescent="0.25">
      <c r="A493" s="226"/>
      <c r="B493" s="226"/>
      <c r="C493" s="226"/>
      <c r="D493" s="226"/>
      <c r="E493" s="241"/>
      <c r="F493" s="226"/>
    </row>
    <row r="494" spans="1:6" x14ac:dyDescent="0.25">
      <c r="A494" s="226"/>
      <c r="B494" s="226"/>
      <c r="C494" s="226"/>
      <c r="D494" s="226"/>
      <c r="E494" s="241"/>
      <c r="F494" s="226"/>
    </row>
    <row r="495" spans="1:6" x14ac:dyDescent="0.25">
      <c r="A495" s="226"/>
      <c r="B495" s="226"/>
      <c r="C495" s="226"/>
      <c r="D495" s="226"/>
      <c r="E495" s="241"/>
      <c r="F495" s="226"/>
    </row>
    <row r="496" spans="1:6" x14ac:dyDescent="0.25">
      <c r="A496" s="226"/>
      <c r="B496" s="226"/>
      <c r="C496" s="226"/>
      <c r="D496" s="226"/>
      <c r="E496" s="241"/>
      <c r="F496" s="226"/>
    </row>
    <row r="497" spans="1:6" x14ac:dyDescent="0.25">
      <c r="A497" s="226"/>
      <c r="B497" s="226"/>
      <c r="C497" s="226"/>
      <c r="D497" s="226"/>
      <c r="E497" s="241"/>
      <c r="F497" s="226"/>
    </row>
    <row r="498" spans="1:6" x14ac:dyDescent="0.25">
      <c r="A498" s="226"/>
      <c r="B498" s="226"/>
      <c r="C498" s="226"/>
      <c r="D498" s="226"/>
      <c r="E498" s="241"/>
      <c r="F498" s="226"/>
    </row>
    <row r="499" spans="1:6" x14ac:dyDescent="0.25">
      <c r="A499" s="226"/>
      <c r="B499" s="226"/>
      <c r="C499" s="226"/>
      <c r="D499" s="226"/>
      <c r="E499" s="241"/>
      <c r="F499" s="226"/>
    </row>
    <row r="500" spans="1:6" x14ac:dyDescent="0.25">
      <c r="A500" s="226"/>
      <c r="B500" s="226"/>
      <c r="C500" s="226"/>
      <c r="D500" s="226"/>
      <c r="E500" s="241"/>
      <c r="F500" s="226"/>
    </row>
    <row r="501" spans="1:6" x14ac:dyDescent="0.25">
      <c r="A501" s="226"/>
      <c r="B501" s="226"/>
      <c r="C501" s="226"/>
      <c r="D501" s="226"/>
      <c r="E501" s="241"/>
      <c r="F501" s="226"/>
    </row>
    <row r="502" spans="1:6" x14ac:dyDescent="0.25">
      <c r="A502" s="226"/>
      <c r="B502" s="226"/>
      <c r="C502" s="226"/>
      <c r="D502" s="226"/>
      <c r="E502" s="241"/>
      <c r="F502" s="226"/>
    </row>
    <row r="503" spans="1:6" x14ac:dyDescent="0.25">
      <c r="A503" s="226"/>
      <c r="B503" s="226"/>
      <c r="C503" s="226"/>
      <c r="D503" s="226"/>
      <c r="E503" s="241"/>
      <c r="F503" s="226"/>
    </row>
    <row r="504" spans="1:6" x14ac:dyDescent="0.25">
      <c r="A504" s="226"/>
      <c r="B504" s="226"/>
      <c r="C504" s="226"/>
      <c r="D504" s="226"/>
      <c r="E504" s="241"/>
      <c r="F504" s="226"/>
    </row>
    <row r="505" spans="1:6" x14ac:dyDescent="0.25">
      <c r="A505" s="226"/>
      <c r="B505" s="226"/>
      <c r="C505" s="226"/>
      <c r="D505" s="226"/>
      <c r="E505" s="241"/>
      <c r="F505" s="226"/>
    </row>
    <row r="506" spans="1:6" x14ac:dyDescent="0.25">
      <c r="A506" s="226"/>
      <c r="B506" s="226"/>
      <c r="C506" s="226"/>
      <c r="D506" s="226"/>
      <c r="E506" s="241"/>
      <c r="F506" s="226"/>
    </row>
    <row r="507" spans="1:6" x14ac:dyDescent="0.25">
      <c r="A507" s="226"/>
      <c r="B507" s="226"/>
      <c r="C507" s="226"/>
      <c r="D507" s="226"/>
      <c r="E507" s="241"/>
      <c r="F507" s="226"/>
    </row>
    <row r="508" spans="1:6" x14ac:dyDescent="0.25">
      <c r="A508" s="226"/>
      <c r="B508" s="226"/>
      <c r="C508" s="226"/>
      <c r="D508" s="226"/>
      <c r="E508" s="241"/>
      <c r="F508" s="226"/>
    </row>
    <row r="509" spans="1:6" x14ac:dyDescent="0.25">
      <c r="A509" s="226"/>
      <c r="B509" s="226"/>
      <c r="C509" s="226"/>
      <c r="D509" s="226"/>
      <c r="E509" s="241"/>
      <c r="F509" s="226"/>
    </row>
    <row r="510" spans="1:6" x14ac:dyDescent="0.25">
      <c r="A510" s="226"/>
      <c r="B510" s="226"/>
      <c r="C510" s="226"/>
      <c r="D510" s="226"/>
      <c r="E510" s="241"/>
      <c r="F510" s="226"/>
    </row>
    <row r="511" spans="1:6" x14ac:dyDescent="0.25">
      <c r="A511" s="226"/>
      <c r="B511" s="226"/>
      <c r="C511" s="226"/>
      <c r="D511" s="226"/>
      <c r="E511" s="241"/>
      <c r="F511" s="226"/>
    </row>
    <row r="512" spans="1:6" x14ac:dyDescent="0.25">
      <c r="A512" s="226"/>
      <c r="B512" s="226"/>
      <c r="C512" s="226"/>
      <c r="D512" s="226"/>
      <c r="E512" s="241"/>
      <c r="F512" s="226"/>
    </row>
    <row r="513" spans="1:6" x14ac:dyDescent="0.25">
      <c r="A513" s="226"/>
      <c r="B513" s="226"/>
      <c r="C513" s="226"/>
      <c r="D513" s="226"/>
      <c r="E513" s="241"/>
      <c r="F513" s="226"/>
    </row>
    <row r="514" spans="1:6" x14ac:dyDescent="0.25">
      <c r="A514" s="226"/>
      <c r="B514" s="226"/>
      <c r="C514" s="226"/>
      <c r="D514" s="226"/>
      <c r="E514" s="241"/>
      <c r="F514" s="226"/>
    </row>
    <row r="515" spans="1:6" x14ac:dyDescent="0.25">
      <c r="A515" s="226"/>
      <c r="B515" s="226"/>
      <c r="C515" s="226"/>
      <c r="D515" s="226"/>
      <c r="E515" s="241"/>
      <c r="F515" s="226"/>
    </row>
    <row r="516" spans="1:6" x14ac:dyDescent="0.25">
      <c r="A516" s="226"/>
      <c r="B516" s="226"/>
      <c r="C516" s="226"/>
      <c r="D516" s="226"/>
      <c r="E516" s="241"/>
      <c r="F516" s="226"/>
    </row>
    <row r="517" spans="1:6" x14ac:dyDescent="0.25">
      <c r="A517" s="226"/>
      <c r="B517" s="226"/>
      <c r="C517" s="226"/>
      <c r="D517" s="226"/>
      <c r="E517" s="241"/>
      <c r="F517" s="226"/>
    </row>
    <row r="518" spans="1:6" x14ac:dyDescent="0.25">
      <c r="A518" s="226"/>
      <c r="B518" s="226"/>
      <c r="C518" s="226"/>
      <c r="D518" s="226"/>
      <c r="E518" s="241"/>
      <c r="F518" s="226"/>
    </row>
    <row r="519" spans="1:6" x14ac:dyDescent="0.25">
      <c r="A519" s="226"/>
      <c r="B519" s="226"/>
      <c r="C519" s="226"/>
      <c r="D519" s="226"/>
      <c r="E519" s="241"/>
      <c r="F519" s="226"/>
    </row>
    <row r="520" spans="1:6" x14ac:dyDescent="0.25">
      <c r="A520" s="226"/>
      <c r="B520" s="226"/>
      <c r="C520" s="226"/>
      <c r="D520" s="226"/>
      <c r="E520" s="241"/>
      <c r="F520" s="226"/>
    </row>
    <row r="521" spans="1:6" x14ac:dyDescent="0.25">
      <c r="A521" s="226"/>
      <c r="B521" s="226"/>
      <c r="C521" s="226"/>
      <c r="D521" s="226"/>
      <c r="E521" s="241"/>
      <c r="F521" s="226"/>
    </row>
    <row r="522" spans="1:6" x14ac:dyDescent="0.25">
      <c r="A522" s="226"/>
      <c r="B522" s="226"/>
      <c r="C522" s="226"/>
      <c r="D522" s="226"/>
      <c r="E522" s="241"/>
      <c r="F522" s="226"/>
    </row>
    <row r="523" spans="1:6" x14ac:dyDescent="0.25">
      <c r="A523" s="226"/>
      <c r="B523" s="226"/>
      <c r="C523" s="226"/>
      <c r="D523" s="226"/>
      <c r="E523" s="241"/>
      <c r="F523" s="226"/>
    </row>
    <row r="524" spans="1:6" x14ac:dyDescent="0.25">
      <c r="A524" s="226"/>
      <c r="B524" s="226"/>
      <c r="C524" s="226"/>
      <c r="D524" s="226"/>
      <c r="E524" s="241"/>
      <c r="F524" s="226"/>
    </row>
    <row r="525" spans="1:6" x14ac:dyDescent="0.25">
      <c r="A525" s="226"/>
      <c r="B525" s="226"/>
      <c r="C525" s="226"/>
      <c r="D525" s="226"/>
      <c r="E525" s="241"/>
      <c r="F525" s="226"/>
    </row>
    <row r="526" spans="1:6" x14ac:dyDescent="0.25">
      <c r="A526" s="226"/>
      <c r="B526" s="226"/>
      <c r="C526" s="226"/>
      <c r="D526" s="226"/>
      <c r="E526" s="241"/>
      <c r="F526" s="226"/>
    </row>
    <row r="527" spans="1:6" x14ac:dyDescent="0.25">
      <c r="A527" s="226"/>
      <c r="B527" s="226"/>
      <c r="C527" s="226"/>
      <c r="D527" s="226"/>
      <c r="E527" s="241"/>
      <c r="F527" s="226"/>
    </row>
    <row r="528" spans="1:6" x14ac:dyDescent="0.25">
      <c r="A528" s="226"/>
      <c r="B528" s="226"/>
      <c r="C528" s="226"/>
      <c r="D528" s="226"/>
      <c r="E528" s="241"/>
      <c r="F528" s="226"/>
    </row>
    <row r="529" spans="1:6" x14ac:dyDescent="0.25">
      <c r="A529" s="226"/>
      <c r="B529" s="226"/>
      <c r="C529" s="226"/>
      <c r="D529" s="226"/>
      <c r="E529" s="241"/>
      <c r="F529" s="226"/>
    </row>
    <row r="530" spans="1:6" x14ac:dyDescent="0.25">
      <c r="A530" s="226"/>
      <c r="B530" s="226"/>
      <c r="C530" s="226"/>
      <c r="D530" s="226"/>
      <c r="E530" s="241"/>
      <c r="F530" s="226"/>
    </row>
    <row r="531" spans="1:6" x14ac:dyDescent="0.25">
      <c r="A531" s="226"/>
      <c r="B531" s="226"/>
      <c r="C531" s="226"/>
      <c r="D531" s="226"/>
      <c r="E531" s="241"/>
      <c r="F531" s="226"/>
    </row>
    <row r="532" spans="1:6" x14ac:dyDescent="0.25">
      <c r="A532" s="226"/>
      <c r="B532" s="226"/>
      <c r="C532" s="226"/>
      <c r="D532" s="226"/>
      <c r="E532" s="241"/>
      <c r="F532" s="226"/>
    </row>
    <row r="533" spans="1:6" x14ac:dyDescent="0.25">
      <c r="A533" s="226"/>
      <c r="B533" s="226"/>
      <c r="C533" s="226"/>
      <c r="D533" s="226"/>
      <c r="E533" s="241"/>
      <c r="F533" s="226"/>
    </row>
    <row r="534" spans="1:6" x14ac:dyDescent="0.25">
      <c r="A534" s="226"/>
      <c r="B534" s="226"/>
      <c r="C534" s="226"/>
      <c r="D534" s="226"/>
      <c r="E534" s="241"/>
      <c r="F534" s="226"/>
    </row>
    <row r="535" spans="1:6" x14ac:dyDescent="0.25">
      <c r="A535" s="226"/>
      <c r="B535" s="226"/>
      <c r="C535" s="226"/>
      <c r="D535" s="226"/>
      <c r="E535" s="241"/>
      <c r="F535" s="226"/>
    </row>
    <row r="536" spans="1:6" x14ac:dyDescent="0.25">
      <c r="A536" s="226"/>
      <c r="B536" s="226"/>
      <c r="C536" s="226"/>
      <c r="D536" s="226"/>
      <c r="E536" s="241"/>
      <c r="F536" s="226"/>
    </row>
    <row r="537" spans="1:6" x14ac:dyDescent="0.25">
      <c r="A537" s="226"/>
      <c r="B537" s="226"/>
      <c r="C537" s="226"/>
      <c r="D537" s="226"/>
      <c r="E537" s="241"/>
      <c r="F537" s="226"/>
    </row>
    <row r="538" spans="1:6" x14ac:dyDescent="0.25">
      <c r="A538" s="226"/>
      <c r="B538" s="226"/>
      <c r="C538" s="226"/>
      <c r="D538" s="226"/>
      <c r="E538" s="241"/>
      <c r="F538" s="226"/>
    </row>
    <row r="539" spans="1:6" x14ac:dyDescent="0.25">
      <c r="A539" s="226"/>
      <c r="B539" s="226"/>
      <c r="C539" s="226"/>
      <c r="D539" s="226"/>
      <c r="E539" s="241"/>
      <c r="F539" s="226"/>
    </row>
    <row r="540" spans="1:6" x14ac:dyDescent="0.25">
      <c r="A540" s="226"/>
      <c r="B540" s="226"/>
      <c r="C540" s="226"/>
      <c r="D540" s="226"/>
      <c r="E540" s="241"/>
      <c r="F540" s="226"/>
    </row>
    <row r="541" spans="1:6" x14ac:dyDescent="0.25">
      <c r="A541" s="226"/>
      <c r="B541" s="226"/>
      <c r="C541" s="226"/>
      <c r="D541" s="226"/>
      <c r="E541" s="241"/>
      <c r="F541" s="226"/>
    </row>
    <row r="542" spans="1:6" x14ac:dyDescent="0.25">
      <c r="A542" s="226"/>
      <c r="B542" s="226"/>
      <c r="C542" s="226"/>
      <c r="D542" s="226"/>
      <c r="E542" s="241"/>
      <c r="F542" s="226"/>
    </row>
    <row r="543" spans="1:6" x14ac:dyDescent="0.25">
      <c r="A543" s="226"/>
      <c r="B543" s="226"/>
      <c r="C543" s="226"/>
      <c r="D543" s="226"/>
      <c r="E543" s="241"/>
      <c r="F543" s="226"/>
    </row>
    <row r="544" spans="1:6" x14ac:dyDescent="0.25">
      <c r="A544" s="226"/>
      <c r="B544" s="226"/>
      <c r="C544" s="226"/>
      <c r="D544" s="226"/>
      <c r="E544" s="241"/>
      <c r="F544" s="226"/>
    </row>
    <row r="545" spans="1:6" x14ac:dyDescent="0.25">
      <c r="A545" s="226"/>
      <c r="B545" s="226"/>
      <c r="C545" s="226"/>
      <c r="D545" s="226"/>
      <c r="E545" s="241"/>
      <c r="F545" s="226"/>
    </row>
    <row r="546" spans="1:6" x14ac:dyDescent="0.25">
      <c r="A546" s="226"/>
      <c r="B546" s="226"/>
      <c r="C546" s="226"/>
      <c r="D546" s="226"/>
      <c r="E546" s="241"/>
      <c r="F546" s="226"/>
    </row>
    <row r="547" spans="1:6" x14ac:dyDescent="0.25">
      <c r="A547" s="226"/>
      <c r="B547" s="226"/>
      <c r="C547" s="226"/>
      <c r="D547" s="226"/>
      <c r="E547" s="241"/>
      <c r="F547" s="226"/>
    </row>
    <row r="548" spans="1:6" x14ac:dyDescent="0.25">
      <c r="A548" s="226"/>
      <c r="B548" s="226"/>
      <c r="C548" s="226"/>
      <c r="D548" s="226"/>
      <c r="E548" s="241"/>
      <c r="F548" s="226"/>
    </row>
    <row r="549" spans="1:6" x14ac:dyDescent="0.25">
      <c r="A549" s="226"/>
      <c r="B549" s="226"/>
      <c r="C549" s="226"/>
      <c r="D549" s="226"/>
      <c r="E549" s="241"/>
      <c r="F549" s="226"/>
    </row>
    <row r="550" spans="1:6" x14ac:dyDescent="0.25">
      <c r="A550" s="226"/>
      <c r="B550" s="226"/>
      <c r="C550" s="226"/>
      <c r="D550" s="226"/>
      <c r="E550" s="241"/>
      <c r="F550" s="226"/>
    </row>
    <row r="551" spans="1:6" x14ac:dyDescent="0.25">
      <c r="A551" s="226"/>
      <c r="B551" s="226"/>
      <c r="C551" s="226"/>
      <c r="D551" s="226"/>
      <c r="E551" s="241"/>
      <c r="F551" s="226"/>
    </row>
    <row r="552" spans="1:6" x14ac:dyDescent="0.25">
      <c r="A552" s="226"/>
      <c r="B552" s="226"/>
      <c r="C552" s="226"/>
      <c r="D552" s="226"/>
      <c r="E552" s="241"/>
      <c r="F552" s="226"/>
    </row>
    <row r="553" spans="1:6" x14ac:dyDescent="0.25">
      <c r="A553" s="226"/>
      <c r="B553" s="226"/>
      <c r="C553" s="226"/>
      <c r="D553" s="226"/>
      <c r="E553" s="241"/>
      <c r="F553" s="226"/>
    </row>
    <row r="554" spans="1:6" x14ac:dyDescent="0.25">
      <c r="A554" s="226"/>
      <c r="B554" s="226"/>
      <c r="C554" s="226"/>
      <c r="D554" s="226"/>
      <c r="E554" s="241"/>
      <c r="F554" s="226"/>
    </row>
    <row r="555" spans="1:6" x14ac:dyDescent="0.25">
      <c r="A555" s="226"/>
      <c r="B555" s="226"/>
      <c r="C555" s="226"/>
      <c r="D555" s="226"/>
      <c r="E555" s="241"/>
      <c r="F555" s="226"/>
    </row>
    <row r="556" spans="1:6" x14ac:dyDescent="0.25">
      <c r="A556" s="226"/>
      <c r="B556" s="226"/>
      <c r="C556" s="226"/>
      <c r="D556" s="226"/>
      <c r="E556" s="241"/>
      <c r="F556" s="226"/>
    </row>
    <row r="557" spans="1:6" x14ac:dyDescent="0.25">
      <c r="A557" s="226"/>
      <c r="B557" s="226"/>
      <c r="C557" s="226"/>
      <c r="D557" s="226"/>
      <c r="E557" s="241"/>
      <c r="F557" s="226"/>
    </row>
    <row r="558" spans="1:6" x14ac:dyDescent="0.25">
      <c r="A558" s="226"/>
      <c r="B558" s="226"/>
      <c r="C558" s="226"/>
      <c r="D558" s="226"/>
      <c r="E558" s="241"/>
      <c r="F558" s="226"/>
    </row>
    <row r="559" spans="1:6" x14ac:dyDescent="0.25">
      <c r="A559" s="226"/>
      <c r="B559" s="226"/>
      <c r="C559" s="226"/>
      <c r="D559" s="226"/>
      <c r="E559" s="241"/>
      <c r="F559" s="226"/>
    </row>
    <row r="560" spans="1:6" x14ac:dyDescent="0.25">
      <c r="A560" s="226"/>
      <c r="B560" s="226"/>
      <c r="C560" s="226"/>
      <c r="D560" s="226"/>
      <c r="E560" s="241"/>
      <c r="F560" s="226"/>
    </row>
    <row r="561" spans="1:6" x14ac:dyDescent="0.25">
      <c r="A561" s="226"/>
      <c r="B561" s="226"/>
      <c r="C561" s="226"/>
      <c r="D561" s="226"/>
      <c r="E561" s="241"/>
      <c r="F561" s="226"/>
    </row>
    <row r="562" spans="1:6" x14ac:dyDescent="0.25">
      <c r="A562" s="226"/>
      <c r="B562" s="226"/>
      <c r="C562" s="226"/>
      <c r="D562" s="226"/>
      <c r="E562" s="241"/>
      <c r="F562" s="226"/>
    </row>
    <row r="563" spans="1:6" x14ac:dyDescent="0.25">
      <c r="A563" s="226"/>
      <c r="B563" s="226"/>
      <c r="C563" s="226"/>
      <c r="D563" s="226"/>
      <c r="E563" s="241"/>
      <c r="F563" s="226"/>
    </row>
    <row r="564" spans="1:6" x14ac:dyDescent="0.25">
      <c r="A564" s="226"/>
      <c r="B564" s="226"/>
      <c r="C564" s="226"/>
      <c r="D564" s="226"/>
      <c r="E564" s="241"/>
      <c r="F564" s="226"/>
    </row>
    <row r="565" spans="1:6" x14ac:dyDescent="0.25">
      <c r="A565" s="226"/>
      <c r="B565" s="226"/>
      <c r="C565" s="226"/>
      <c r="D565" s="226"/>
      <c r="E565" s="241"/>
      <c r="F565" s="226"/>
    </row>
    <row r="566" spans="1:6" x14ac:dyDescent="0.25">
      <c r="A566" s="226"/>
      <c r="B566" s="226"/>
      <c r="C566" s="226"/>
      <c r="D566" s="226"/>
      <c r="E566" s="241"/>
      <c r="F566" s="226"/>
    </row>
    <row r="567" spans="1:6" x14ac:dyDescent="0.25">
      <c r="A567" s="226"/>
      <c r="B567" s="226"/>
      <c r="C567" s="226"/>
      <c r="D567" s="226"/>
      <c r="E567" s="241"/>
      <c r="F567" s="226"/>
    </row>
    <row r="568" spans="1:6" x14ac:dyDescent="0.25">
      <c r="A568" s="226"/>
      <c r="B568" s="226"/>
      <c r="C568" s="226"/>
      <c r="D568" s="226"/>
      <c r="E568" s="241"/>
      <c r="F568" s="226"/>
    </row>
    <row r="569" spans="1:6" x14ac:dyDescent="0.25">
      <c r="A569" s="226"/>
      <c r="B569" s="226"/>
      <c r="C569" s="226"/>
      <c r="D569" s="226"/>
      <c r="E569" s="241"/>
      <c r="F569" s="226"/>
    </row>
    <row r="570" spans="1:6" x14ac:dyDescent="0.25">
      <c r="A570" s="226"/>
      <c r="B570" s="226"/>
      <c r="C570" s="226"/>
      <c r="D570" s="226"/>
      <c r="E570" s="241"/>
      <c r="F570" s="226"/>
    </row>
    <row r="571" spans="1:6" x14ac:dyDescent="0.25">
      <c r="A571" s="226"/>
      <c r="B571" s="226"/>
      <c r="C571" s="226"/>
      <c r="D571" s="226"/>
      <c r="E571" s="241"/>
      <c r="F571" s="226"/>
    </row>
    <row r="572" spans="1:6" x14ac:dyDescent="0.25">
      <c r="A572" s="226"/>
      <c r="B572" s="226"/>
      <c r="C572" s="226"/>
      <c r="D572" s="226"/>
      <c r="E572" s="241"/>
      <c r="F572" s="226"/>
    </row>
    <row r="573" spans="1:6" x14ac:dyDescent="0.25">
      <c r="A573" s="226"/>
      <c r="B573" s="226"/>
      <c r="C573" s="226"/>
      <c r="D573" s="226"/>
      <c r="E573" s="241"/>
      <c r="F573" s="226"/>
    </row>
    <row r="574" spans="1:6" x14ac:dyDescent="0.25">
      <c r="A574" s="226"/>
      <c r="B574" s="226"/>
      <c r="C574" s="226"/>
      <c r="D574" s="226"/>
      <c r="E574" s="241"/>
      <c r="F574" s="226"/>
    </row>
    <row r="575" spans="1:6" x14ac:dyDescent="0.25">
      <c r="A575" s="226"/>
      <c r="B575" s="226"/>
      <c r="C575" s="226"/>
      <c r="D575" s="226"/>
      <c r="E575" s="241"/>
      <c r="F575" s="226"/>
    </row>
    <row r="576" spans="1:6" x14ac:dyDescent="0.25">
      <c r="A576" s="226"/>
      <c r="B576" s="226"/>
      <c r="C576" s="226"/>
      <c r="D576" s="226"/>
      <c r="E576" s="241"/>
      <c r="F576" s="226"/>
    </row>
    <row r="577" spans="1:6" x14ac:dyDescent="0.25">
      <c r="A577" s="226"/>
      <c r="B577" s="226"/>
      <c r="C577" s="226"/>
      <c r="D577" s="226"/>
      <c r="E577" s="241"/>
      <c r="F577" s="226"/>
    </row>
    <row r="578" spans="1:6" x14ac:dyDescent="0.25">
      <c r="A578" s="226"/>
      <c r="B578" s="226"/>
      <c r="C578" s="226"/>
      <c r="D578" s="226"/>
      <c r="E578" s="241"/>
      <c r="F578" s="226"/>
    </row>
    <row r="579" spans="1:6" x14ac:dyDescent="0.25">
      <c r="A579" s="226"/>
      <c r="B579" s="226"/>
      <c r="C579" s="226"/>
      <c r="D579" s="226"/>
      <c r="E579" s="241"/>
      <c r="F579" s="226"/>
    </row>
    <row r="580" spans="1:6" x14ac:dyDescent="0.25">
      <c r="A580" s="226"/>
      <c r="B580" s="226"/>
      <c r="C580" s="226"/>
      <c r="D580" s="226"/>
      <c r="E580" s="241"/>
      <c r="F580" s="226"/>
    </row>
    <row r="581" spans="1:6" x14ac:dyDescent="0.25">
      <c r="A581" s="226"/>
      <c r="B581" s="226"/>
      <c r="C581" s="226"/>
      <c r="D581" s="226"/>
      <c r="E581" s="241"/>
      <c r="F581" s="226"/>
    </row>
    <row r="582" spans="1:6" x14ac:dyDescent="0.25">
      <c r="A582" s="226"/>
      <c r="B582" s="226"/>
      <c r="C582" s="226"/>
      <c r="D582" s="226"/>
      <c r="E582" s="241"/>
      <c r="F582" s="226"/>
    </row>
    <row r="583" spans="1:6" x14ac:dyDescent="0.25">
      <c r="A583" s="226"/>
      <c r="B583" s="226"/>
      <c r="C583" s="226"/>
      <c r="D583" s="226"/>
      <c r="E583" s="241"/>
      <c r="F583" s="226"/>
    </row>
    <row r="584" spans="1:6" x14ac:dyDescent="0.25">
      <c r="A584" s="226"/>
      <c r="B584" s="226" t="s">
        <v>1763</v>
      </c>
      <c r="C584" s="226"/>
      <c r="D584" s="226"/>
      <c r="E584" s="241"/>
      <c r="F584" s="226"/>
    </row>
    <row r="585" spans="1:6" x14ac:dyDescent="0.25">
      <c r="A585" s="226"/>
      <c r="B585" s="226"/>
      <c r="C585" s="226"/>
      <c r="D585" s="226"/>
      <c r="E585" s="241"/>
      <c r="F585" s="226"/>
    </row>
    <row r="586" spans="1:6" x14ac:dyDescent="0.25">
      <c r="A586" s="226"/>
      <c r="B586" s="226"/>
      <c r="C586" s="226"/>
      <c r="D586" s="226"/>
      <c r="E586" s="241"/>
      <c r="F586" s="226"/>
    </row>
    <row r="587" spans="1:6" x14ac:dyDescent="0.25">
      <c r="A587" s="226"/>
      <c r="B587" s="226"/>
      <c r="C587" s="226"/>
      <c r="D587" s="226"/>
      <c r="E587" s="241"/>
      <c r="F587" s="226"/>
    </row>
    <row r="588" spans="1:6" x14ac:dyDescent="0.25">
      <c r="A588" s="226"/>
      <c r="B588" s="226"/>
      <c r="C588" s="226"/>
      <c r="D588" s="226"/>
      <c r="E588" s="241"/>
      <c r="F588" s="226"/>
    </row>
    <row r="589" spans="1:6" x14ac:dyDescent="0.25">
      <c r="A589" s="226"/>
      <c r="B589" s="226"/>
      <c r="C589" s="226"/>
      <c r="D589" s="226"/>
      <c r="E589" s="241"/>
      <c r="F589" s="226"/>
    </row>
    <row r="590" spans="1:6" x14ac:dyDescent="0.25">
      <c r="A590" s="226"/>
      <c r="B590" s="226"/>
      <c r="C590" s="226"/>
      <c r="D590" s="226"/>
      <c r="E590" s="241"/>
      <c r="F590" s="226"/>
    </row>
    <row r="591" spans="1:6" x14ac:dyDescent="0.25">
      <c r="A591" s="226"/>
      <c r="B591" s="226"/>
      <c r="C591" s="226"/>
      <c r="D591" s="226"/>
      <c r="E591" s="241"/>
      <c r="F591" s="226"/>
    </row>
    <row r="592" spans="1:6" x14ac:dyDescent="0.25">
      <c r="A592" s="226"/>
      <c r="B592" s="226"/>
      <c r="C592" s="226"/>
      <c r="D592" s="226"/>
      <c r="E592" s="241"/>
      <c r="F592" s="226"/>
    </row>
    <row r="593" spans="1:6" x14ac:dyDescent="0.25">
      <c r="A593" s="226"/>
      <c r="B593" s="226"/>
      <c r="C593" s="226"/>
      <c r="D593" s="226"/>
      <c r="E593" s="241"/>
      <c r="F593" s="226"/>
    </row>
    <row r="594" spans="1:6" x14ac:dyDescent="0.25">
      <c r="A594" s="226"/>
      <c r="B594" s="226"/>
      <c r="C594" s="226"/>
      <c r="D594" s="226"/>
      <c r="E594" s="241"/>
      <c r="F594" s="226"/>
    </row>
    <row r="595" spans="1:6" x14ac:dyDescent="0.25">
      <c r="A595" s="226"/>
      <c r="B595" s="226"/>
      <c r="C595" s="226"/>
      <c r="D595" s="226"/>
      <c r="E595" s="241"/>
      <c r="F595" s="226"/>
    </row>
    <row r="596" spans="1:6" x14ac:dyDescent="0.25">
      <c r="A596" s="226"/>
      <c r="B596" s="226"/>
      <c r="C596" s="226"/>
      <c r="D596" s="226"/>
      <c r="E596" s="241"/>
      <c r="F596" s="226"/>
    </row>
    <row r="597" spans="1:6" x14ac:dyDescent="0.25">
      <c r="A597" s="226"/>
      <c r="B597" s="226"/>
      <c r="C597" s="226"/>
      <c r="D597" s="226"/>
      <c r="E597" s="241"/>
      <c r="F597" s="226"/>
    </row>
    <row r="598" spans="1:6" x14ac:dyDescent="0.25">
      <c r="A598" s="226"/>
      <c r="B598" s="226"/>
      <c r="C598" s="226"/>
      <c r="D598" s="226"/>
      <c r="E598" s="241"/>
      <c r="F598" s="226"/>
    </row>
    <row r="599" spans="1:6" x14ac:dyDescent="0.25">
      <c r="A599" s="226"/>
      <c r="B599" s="226"/>
      <c r="C599" s="226"/>
      <c r="D599" s="226"/>
      <c r="E599" s="241"/>
      <c r="F599" s="226"/>
    </row>
    <row r="600" spans="1:6" x14ac:dyDescent="0.25">
      <c r="A600" s="226"/>
      <c r="B600" s="226"/>
      <c r="C600" s="226"/>
      <c r="D600" s="226"/>
      <c r="E600" s="241"/>
      <c r="F600" s="226"/>
    </row>
    <row r="601" spans="1:6" x14ac:dyDescent="0.25">
      <c r="A601" s="226"/>
      <c r="B601" s="226"/>
      <c r="C601" s="226"/>
      <c r="D601" s="226"/>
      <c r="E601" s="241"/>
      <c r="F601" s="226"/>
    </row>
    <row r="602" spans="1:6" x14ac:dyDescent="0.25">
      <c r="A602" s="226"/>
      <c r="B602" s="226"/>
      <c r="C602" s="226"/>
      <c r="D602" s="226"/>
      <c r="E602" s="241"/>
      <c r="F602" s="226"/>
    </row>
    <row r="603" spans="1:6" x14ac:dyDescent="0.25">
      <c r="A603" s="226"/>
      <c r="B603" s="226"/>
      <c r="C603" s="226"/>
      <c r="D603" s="226"/>
      <c r="E603" s="241"/>
      <c r="F603" s="226"/>
    </row>
    <row r="604" spans="1:6" x14ac:dyDescent="0.25">
      <c r="A604" s="226"/>
      <c r="B604" s="226"/>
      <c r="C604" s="226"/>
      <c r="D604" s="226"/>
      <c r="E604" s="241"/>
      <c r="F604" s="226"/>
    </row>
    <row r="605" spans="1:6" x14ac:dyDescent="0.25">
      <c r="A605" s="226"/>
      <c r="B605" s="226"/>
      <c r="C605" s="226"/>
      <c r="D605" s="226"/>
      <c r="E605" s="241"/>
      <c r="F605" s="226"/>
    </row>
    <row r="606" spans="1:6" x14ac:dyDescent="0.25">
      <c r="A606" s="226"/>
      <c r="B606" s="226"/>
      <c r="C606" s="226"/>
      <c r="D606" s="226"/>
      <c r="E606" s="241"/>
      <c r="F606" s="226"/>
    </row>
    <row r="607" spans="1:6" x14ac:dyDescent="0.25">
      <c r="A607" s="226"/>
      <c r="B607" s="226"/>
      <c r="C607" s="226"/>
      <c r="D607" s="226"/>
      <c r="E607" s="241"/>
      <c r="F607" s="226"/>
    </row>
    <row r="608" spans="1:6" x14ac:dyDescent="0.25">
      <c r="A608" s="226"/>
      <c r="B608" s="226"/>
      <c r="C608" s="226"/>
      <c r="D608" s="226"/>
      <c r="E608" s="241"/>
      <c r="F608" s="226"/>
    </row>
    <row r="609" spans="1:6" x14ac:dyDescent="0.25">
      <c r="A609" s="226"/>
      <c r="B609" s="226"/>
      <c r="C609" s="226"/>
      <c r="D609" s="226"/>
      <c r="E609" s="241"/>
      <c r="F609" s="226"/>
    </row>
    <row r="610" spans="1:6" x14ac:dyDescent="0.25">
      <c r="A610" s="226"/>
      <c r="B610" s="226"/>
      <c r="C610" s="226"/>
      <c r="D610" s="226"/>
      <c r="E610" s="241"/>
      <c r="F610" s="226"/>
    </row>
    <row r="611" spans="1:6" x14ac:dyDescent="0.25">
      <c r="A611" s="226"/>
      <c r="B611" s="226"/>
      <c r="C611" s="226"/>
      <c r="D611" s="226"/>
      <c r="E611" s="241"/>
      <c r="F611" s="226"/>
    </row>
    <row r="612" spans="1:6" x14ac:dyDescent="0.25">
      <c r="A612" s="226"/>
      <c r="B612" s="226"/>
      <c r="C612" s="226"/>
      <c r="D612" s="226"/>
      <c r="E612" s="241"/>
      <c r="F612" s="226"/>
    </row>
    <row r="613" spans="1:6" x14ac:dyDescent="0.25">
      <c r="A613" s="226"/>
      <c r="B613" s="226"/>
      <c r="C613" s="226"/>
      <c r="D613" s="226"/>
      <c r="E613" s="241"/>
      <c r="F613" s="226"/>
    </row>
    <row r="614" spans="1:6" x14ac:dyDescent="0.25">
      <c r="A614" s="226"/>
      <c r="B614" s="226"/>
      <c r="C614" s="226"/>
      <c r="D614" s="226"/>
      <c r="E614" s="241"/>
      <c r="F614" s="226"/>
    </row>
    <row r="615" spans="1:6" x14ac:dyDescent="0.25">
      <c r="A615" s="226"/>
      <c r="B615" s="226"/>
      <c r="C615" s="226"/>
      <c r="D615" s="226"/>
      <c r="E615" s="241"/>
      <c r="F615" s="226"/>
    </row>
    <row r="616" spans="1:6" x14ac:dyDescent="0.25">
      <c r="A616" s="226"/>
      <c r="B616" s="226"/>
      <c r="C616" s="226"/>
      <c r="D616" s="226"/>
      <c r="E616" s="241"/>
      <c r="F616" s="226"/>
    </row>
    <row r="617" spans="1:6" x14ac:dyDescent="0.25">
      <c r="A617" s="226"/>
      <c r="B617" s="226"/>
      <c r="C617" s="226"/>
      <c r="D617" s="226"/>
      <c r="E617" s="241"/>
      <c r="F617" s="226"/>
    </row>
    <row r="618" spans="1:6" x14ac:dyDescent="0.25">
      <c r="A618" s="226"/>
      <c r="B618" s="226"/>
      <c r="C618" s="226"/>
      <c r="D618" s="226"/>
      <c r="E618" s="241"/>
      <c r="F618" s="226"/>
    </row>
    <row r="619" spans="1:6" x14ac:dyDescent="0.25">
      <c r="A619" s="226"/>
      <c r="B619" s="226"/>
      <c r="C619" s="226"/>
      <c r="D619" s="226"/>
      <c r="E619" s="241"/>
      <c r="F619" s="226"/>
    </row>
    <row r="620" spans="1:6" x14ac:dyDescent="0.25">
      <c r="A620" s="226"/>
      <c r="B620" s="226"/>
      <c r="C620" s="226"/>
      <c r="D620" s="226"/>
      <c r="E620" s="241"/>
      <c r="F620" s="226"/>
    </row>
    <row r="621" spans="1:6" x14ac:dyDescent="0.25">
      <c r="A621" s="226"/>
      <c r="B621" s="226"/>
      <c r="C621" s="226"/>
      <c r="D621" s="226"/>
      <c r="E621" s="241"/>
      <c r="F621" s="226"/>
    </row>
    <row r="622" spans="1:6" x14ac:dyDescent="0.25">
      <c r="A622" s="226"/>
      <c r="B622" s="226"/>
      <c r="C622" s="226"/>
      <c r="D622" s="226"/>
      <c r="E622" s="241"/>
      <c r="F622" s="226"/>
    </row>
    <row r="623" spans="1:6" x14ac:dyDescent="0.25">
      <c r="A623" s="226"/>
      <c r="B623" s="226"/>
      <c r="C623" s="226"/>
      <c r="D623" s="226"/>
      <c r="E623" s="241"/>
      <c r="F623" s="226"/>
    </row>
    <row r="624" spans="1:6" x14ac:dyDescent="0.25">
      <c r="A624" s="226"/>
      <c r="B624" s="226"/>
      <c r="C624" s="226"/>
      <c r="D624" s="226"/>
      <c r="E624" s="241"/>
      <c r="F624" s="226"/>
    </row>
    <row r="625" spans="1:6" x14ac:dyDescent="0.25">
      <c r="A625" s="226"/>
      <c r="B625" s="226"/>
      <c r="C625" s="226"/>
      <c r="D625" s="226"/>
      <c r="E625" s="241"/>
      <c r="F625" s="226"/>
    </row>
    <row r="626" spans="1:6" x14ac:dyDescent="0.25">
      <c r="A626" s="226"/>
      <c r="B626" s="226"/>
      <c r="C626" s="226"/>
      <c r="D626" s="226"/>
      <c r="E626" s="241"/>
      <c r="F626" s="226"/>
    </row>
    <row r="627" spans="1:6" x14ac:dyDescent="0.25">
      <c r="A627" s="226"/>
      <c r="B627" s="226"/>
      <c r="C627" s="226"/>
      <c r="D627" s="226"/>
      <c r="E627" s="241"/>
      <c r="F627" s="226"/>
    </row>
    <row r="628" spans="1:6" x14ac:dyDescent="0.25">
      <c r="A628" s="226"/>
      <c r="B628" s="226"/>
      <c r="C628" s="226"/>
      <c r="D628" s="226"/>
      <c r="E628" s="241"/>
      <c r="F628" s="226"/>
    </row>
    <row r="629" spans="1:6" x14ac:dyDescent="0.25">
      <c r="A629" s="226"/>
      <c r="B629" s="226"/>
      <c r="C629" s="226"/>
      <c r="D629" s="226"/>
      <c r="E629" s="241"/>
      <c r="F629" s="226"/>
    </row>
    <row r="630" spans="1:6" x14ac:dyDescent="0.25">
      <c r="A630" s="226"/>
      <c r="B630" s="226"/>
      <c r="C630" s="226"/>
      <c r="D630" s="226"/>
      <c r="E630" s="241"/>
      <c r="F630" s="226"/>
    </row>
    <row r="631" spans="1:6" x14ac:dyDescent="0.25">
      <c r="A631" s="226"/>
      <c r="B631" s="226"/>
      <c r="C631" s="226"/>
      <c r="D631" s="226"/>
      <c r="E631" s="241"/>
      <c r="F631" s="226"/>
    </row>
    <row r="632" spans="1:6" x14ac:dyDescent="0.25">
      <c r="A632" s="226"/>
      <c r="B632" s="226"/>
      <c r="C632" s="226"/>
      <c r="D632" s="226"/>
      <c r="E632" s="241"/>
      <c r="F632" s="226"/>
    </row>
    <row r="633" spans="1:6" x14ac:dyDescent="0.25">
      <c r="A633" s="226"/>
      <c r="B633" s="226"/>
      <c r="C633" s="226"/>
      <c r="D633" s="226"/>
      <c r="E633" s="241"/>
      <c r="F633" s="226"/>
    </row>
    <row r="634" spans="1:6" x14ac:dyDescent="0.25">
      <c r="A634" s="226"/>
      <c r="B634" s="226"/>
      <c r="C634" s="226"/>
      <c r="D634" s="226"/>
      <c r="E634" s="241"/>
      <c r="F634" s="226"/>
    </row>
    <row r="635" spans="1:6" x14ac:dyDescent="0.25">
      <c r="A635" s="226"/>
      <c r="B635" s="226"/>
      <c r="C635" s="226"/>
      <c r="D635" s="226"/>
      <c r="E635" s="241"/>
      <c r="F635" s="226"/>
    </row>
    <row r="636" spans="1:6" x14ac:dyDescent="0.25">
      <c r="A636" s="226"/>
      <c r="B636" s="226"/>
      <c r="C636" s="226"/>
      <c r="D636" s="226"/>
      <c r="E636" s="241"/>
      <c r="F636" s="226"/>
    </row>
    <row r="637" spans="1:6" x14ac:dyDescent="0.25">
      <c r="A637" s="226"/>
      <c r="B637" s="226"/>
      <c r="C637" s="226"/>
      <c r="D637" s="226"/>
      <c r="E637" s="241"/>
      <c r="F637" s="226"/>
    </row>
    <row r="638" spans="1:6" x14ac:dyDescent="0.25">
      <c r="A638" s="226"/>
      <c r="B638" s="226"/>
      <c r="C638" s="226"/>
      <c r="D638" s="226"/>
      <c r="E638" s="241"/>
      <c r="F638" s="226"/>
    </row>
    <row r="639" spans="1:6" x14ac:dyDescent="0.25">
      <c r="A639" s="226"/>
      <c r="B639" s="226"/>
      <c r="C639" s="226"/>
      <c r="D639" s="226"/>
      <c r="E639" s="241"/>
      <c r="F639" s="226"/>
    </row>
    <row r="640" spans="1:6" x14ac:dyDescent="0.25">
      <c r="A640" s="226"/>
      <c r="B640" s="226"/>
      <c r="C640" s="226"/>
      <c r="D640" s="226"/>
      <c r="E640" s="241"/>
      <c r="F640" s="226"/>
    </row>
    <row r="641" spans="1:6" x14ac:dyDescent="0.25">
      <c r="A641" s="226"/>
      <c r="B641" s="226"/>
      <c r="C641" s="226"/>
      <c r="D641" s="226"/>
      <c r="E641" s="241"/>
      <c r="F641" s="226"/>
    </row>
    <row r="642" spans="1:6" x14ac:dyDescent="0.25">
      <c r="A642" s="226"/>
      <c r="B642" s="226"/>
      <c r="C642" s="226"/>
      <c r="D642" s="226"/>
      <c r="E642" s="241"/>
      <c r="F642" s="226"/>
    </row>
    <row r="643" spans="1:6" x14ac:dyDescent="0.25">
      <c r="A643" s="226"/>
      <c r="B643" s="226"/>
      <c r="C643" s="226"/>
      <c r="D643" s="226"/>
      <c r="E643" s="241"/>
      <c r="F643" s="226"/>
    </row>
    <row r="644" spans="1:6" x14ac:dyDescent="0.25">
      <c r="A644" s="226"/>
      <c r="B644" s="226"/>
      <c r="C644" s="226"/>
      <c r="D644" s="226"/>
      <c r="E644" s="241"/>
      <c r="F644" s="226"/>
    </row>
    <row r="645" spans="1:6" x14ac:dyDescent="0.25">
      <c r="A645" s="226"/>
      <c r="B645" s="226"/>
      <c r="C645" s="226"/>
      <c r="D645" s="226"/>
      <c r="E645" s="241"/>
      <c r="F645" s="226"/>
    </row>
    <row r="646" spans="1:6" x14ac:dyDescent="0.25">
      <c r="A646" s="226"/>
      <c r="B646" s="226"/>
      <c r="C646" s="226"/>
      <c r="D646" s="226"/>
      <c r="E646" s="241"/>
      <c r="F646" s="226"/>
    </row>
    <row r="647" spans="1:6" x14ac:dyDescent="0.25">
      <c r="A647" s="226"/>
      <c r="B647" s="226"/>
      <c r="C647" s="226"/>
      <c r="D647" s="226"/>
      <c r="E647" s="241"/>
      <c r="F647" s="226"/>
    </row>
    <row r="648" spans="1:6" x14ac:dyDescent="0.25">
      <c r="A648" s="226"/>
      <c r="B648" s="226"/>
      <c r="C648" s="226"/>
      <c r="D648" s="226"/>
      <c r="E648" s="241"/>
      <c r="F648" s="226"/>
    </row>
    <row r="649" spans="1:6" x14ac:dyDescent="0.25">
      <c r="A649" s="226"/>
      <c r="B649" s="226"/>
      <c r="C649" s="226"/>
      <c r="D649" s="226"/>
      <c r="E649" s="241"/>
      <c r="F649" s="226"/>
    </row>
    <row r="650" spans="1:6" x14ac:dyDescent="0.25">
      <c r="A650" s="226"/>
      <c r="B650" s="226"/>
      <c r="C650" s="226"/>
      <c r="D650" s="226"/>
      <c r="E650" s="241"/>
      <c r="F650" s="226"/>
    </row>
    <row r="651" spans="1:6" x14ac:dyDescent="0.25">
      <c r="A651" s="226"/>
      <c r="B651" s="226"/>
      <c r="C651" s="226"/>
      <c r="D651" s="226"/>
      <c r="E651" s="241"/>
      <c r="F651" s="226"/>
    </row>
    <row r="652" spans="1:6" x14ac:dyDescent="0.25">
      <c r="A652" s="226"/>
      <c r="B652" s="226"/>
      <c r="C652" s="226"/>
      <c r="D652" s="226"/>
      <c r="E652" s="241"/>
      <c r="F652" s="226"/>
    </row>
    <row r="653" spans="1:6" x14ac:dyDescent="0.25">
      <c r="A653" s="226"/>
      <c r="B653" s="226"/>
      <c r="C653" s="226"/>
      <c r="D653" s="226"/>
      <c r="E653" s="241"/>
      <c r="F653" s="226"/>
    </row>
    <row r="654" spans="1:6" x14ac:dyDescent="0.25">
      <c r="A654" s="226"/>
      <c r="B654" s="226"/>
      <c r="C654" s="226"/>
      <c r="D654" s="226"/>
      <c r="E654" s="241"/>
      <c r="F654" s="226"/>
    </row>
    <row r="655" spans="1:6" x14ac:dyDescent="0.25">
      <c r="A655" s="226"/>
      <c r="B655" s="226"/>
      <c r="C655" s="226"/>
      <c r="D655" s="226"/>
      <c r="E655" s="241"/>
      <c r="F655" s="226"/>
    </row>
    <row r="656" spans="1:6" x14ac:dyDescent="0.25">
      <c r="A656" s="226"/>
      <c r="B656" s="226"/>
      <c r="C656" s="226"/>
      <c r="D656" s="226"/>
      <c r="E656" s="241"/>
      <c r="F656" s="226"/>
    </row>
    <row r="657" spans="1:6" x14ac:dyDescent="0.25">
      <c r="A657" s="226"/>
      <c r="B657" s="226"/>
      <c r="C657" s="226"/>
      <c r="D657" s="226"/>
      <c r="E657" s="241"/>
      <c r="F657" s="226"/>
    </row>
    <row r="658" spans="1:6" x14ac:dyDescent="0.25">
      <c r="A658" s="226"/>
      <c r="B658" s="226"/>
      <c r="C658" s="226"/>
      <c r="D658" s="226"/>
      <c r="E658" s="241"/>
      <c r="F658" s="226"/>
    </row>
    <row r="659" spans="1:6" x14ac:dyDescent="0.25">
      <c r="A659" s="226"/>
      <c r="B659" s="226"/>
      <c r="C659" s="226"/>
      <c r="D659" s="226"/>
      <c r="E659" s="241"/>
      <c r="F659" s="226"/>
    </row>
    <row r="660" spans="1:6" x14ac:dyDescent="0.25">
      <c r="A660" s="226"/>
      <c r="B660" s="226"/>
      <c r="C660" s="226"/>
      <c r="D660" s="226"/>
      <c r="E660" s="241"/>
      <c r="F660" s="226"/>
    </row>
    <row r="661" spans="1:6" x14ac:dyDescent="0.25">
      <c r="A661" s="226"/>
      <c r="B661" s="226"/>
      <c r="C661" s="226"/>
      <c r="D661" s="226"/>
      <c r="E661" s="241"/>
      <c r="F661" s="226"/>
    </row>
    <row r="662" spans="1:6" x14ac:dyDescent="0.25">
      <c r="A662" s="226"/>
      <c r="B662" s="226"/>
      <c r="C662" s="226"/>
      <c r="D662" s="226"/>
      <c r="E662" s="241"/>
      <c r="F662" s="226"/>
    </row>
    <row r="663" spans="1:6" x14ac:dyDescent="0.25">
      <c r="A663" s="226"/>
      <c r="B663" s="226"/>
      <c r="C663" s="226"/>
      <c r="D663" s="226"/>
      <c r="E663" s="241"/>
      <c r="F663" s="226"/>
    </row>
    <row r="664" spans="1:6" x14ac:dyDescent="0.25">
      <c r="A664" s="226"/>
      <c r="B664" s="226"/>
      <c r="C664" s="226"/>
      <c r="D664" s="226"/>
      <c r="E664" s="241"/>
      <c r="F664" s="226"/>
    </row>
    <row r="665" spans="1:6" x14ac:dyDescent="0.25">
      <c r="A665" s="226"/>
      <c r="B665" s="226" t="s">
        <v>1764</v>
      </c>
      <c r="C665" s="226"/>
      <c r="D665" s="226"/>
      <c r="E665" s="241"/>
      <c r="F665" s="226"/>
    </row>
    <row r="666" spans="1:6" x14ac:dyDescent="0.25">
      <c r="A666" s="226"/>
      <c r="B666" s="226"/>
      <c r="C666" s="226"/>
      <c r="D666" s="226"/>
      <c r="E666" s="241"/>
      <c r="F666" s="226"/>
    </row>
    <row r="667" spans="1:6" x14ac:dyDescent="0.25">
      <c r="A667" s="226"/>
      <c r="B667" s="226"/>
      <c r="C667" s="226"/>
      <c r="D667" s="226"/>
      <c r="E667" s="241"/>
      <c r="F667" s="226"/>
    </row>
    <row r="668" spans="1:6" x14ac:dyDescent="0.25">
      <c r="A668" s="226"/>
      <c r="B668" s="226"/>
      <c r="C668" s="226"/>
      <c r="D668" s="226"/>
      <c r="E668" s="241"/>
      <c r="F668" s="226"/>
    </row>
    <row r="669" spans="1:6" x14ac:dyDescent="0.25">
      <c r="A669" s="226"/>
      <c r="B669" s="226"/>
      <c r="C669" s="226"/>
      <c r="D669" s="226"/>
      <c r="E669" s="241"/>
      <c r="F669" s="226"/>
    </row>
    <row r="670" spans="1:6" x14ac:dyDescent="0.25">
      <c r="A670" s="226"/>
      <c r="B670" s="226"/>
      <c r="C670" s="226"/>
      <c r="D670" s="226"/>
      <c r="E670" s="241"/>
      <c r="F670" s="226"/>
    </row>
    <row r="671" spans="1:6" x14ac:dyDescent="0.25">
      <c r="A671" s="226"/>
      <c r="B671" s="226"/>
      <c r="C671" s="226"/>
      <c r="D671" s="226"/>
      <c r="E671" s="241"/>
      <c r="F671" s="226"/>
    </row>
    <row r="672" spans="1:6" x14ac:dyDescent="0.25">
      <c r="A672" s="226"/>
      <c r="B672" s="226"/>
      <c r="C672" s="226"/>
      <c r="D672" s="226"/>
      <c r="E672" s="241"/>
      <c r="F672" s="226"/>
    </row>
    <row r="673" spans="1:6" x14ac:dyDescent="0.25">
      <c r="A673" s="226"/>
      <c r="B673" s="226"/>
      <c r="C673" s="226"/>
      <c r="D673" s="226"/>
      <c r="E673" s="241"/>
      <c r="F673" s="226"/>
    </row>
    <row r="674" spans="1:6" x14ac:dyDescent="0.25">
      <c r="A674" s="226"/>
      <c r="B674" s="226"/>
      <c r="C674" s="226"/>
      <c r="D674" s="226"/>
      <c r="E674" s="241"/>
      <c r="F674" s="226"/>
    </row>
    <row r="675" spans="1:6" x14ac:dyDescent="0.25">
      <c r="A675" s="226"/>
      <c r="B675" s="226"/>
      <c r="C675" s="226"/>
      <c r="D675" s="226"/>
      <c r="E675" s="241"/>
      <c r="F675" s="226"/>
    </row>
    <row r="676" spans="1:6" x14ac:dyDescent="0.25">
      <c r="A676" s="226"/>
      <c r="B676" s="226"/>
      <c r="C676" s="226"/>
      <c r="D676" s="226"/>
      <c r="E676" s="241"/>
      <c r="F676" s="226"/>
    </row>
    <row r="677" spans="1:6" x14ac:dyDescent="0.25">
      <c r="A677" s="226"/>
      <c r="B677" s="226"/>
      <c r="C677" s="226"/>
      <c r="D677" s="226"/>
      <c r="E677" s="241"/>
      <c r="F677" s="226"/>
    </row>
    <row r="678" spans="1:6" x14ac:dyDescent="0.25">
      <c r="A678" s="226"/>
      <c r="B678" s="226"/>
      <c r="C678" s="226"/>
      <c r="D678" s="226"/>
      <c r="E678" s="241"/>
      <c r="F678" s="226"/>
    </row>
    <row r="679" spans="1:6" x14ac:dyDescent="0.25">
      <c r="A679" s="226"/>
      <c r="B679" s="226"/>
      <c r="C679" s="226"/>
      <c r="D679" s="226"/>
      <c r="E679" s="241"/>
      <c r="F679" s="226"/>
    </row>
    <row r="680" spans="1:6" x14ac:dyDescent="0.25">
      <c r="A680" s="226"/>
      <c r="B680" s="226"/>
      <c r="C680" s="226"/>
      <c r="D680" s="226"/>
      <c r="E680" s="241"/>
      <c r="F680" s="226"/>
    </row>
    <row r="681" spans="1:6" x14ac:dyDescent="0.25">
      <c r="A681" s="226"/>
      <c r="B681" s="226"/>
      <c r="C681" s="226"/>
      <c r="D681" s="226"/>
      <c r="E681" s="241"/>
      <c r="F681" s="226"/>
    </row>
    <row r="682" spans="1:6" x14ac:dyDescent="0.25">
      <c r="A682" s="226"/>
      <c r="B682" s="226"/>
      <c r="C682" s="226"/>
      <c r="D682" s="226"/>
      <c r="E682" s="241"/>
      <c r="F682" s="226"/>
    </row>
    <row r="683" spans="1:6" x14ac:dyDescent="0.25">
      <c r="A683" s="226"/>
      <c r="B683" s="226"/>
      <c r="C683" s="226"/>
      <c r="D683" s="226"/>
      <c r="E683" s="241"/>
      <c r="F683" s="226"/>
    </row>
    <row r="684" spans="1:6" x14ac:dyDescent="0.25">
      <c r="A684" s="226"/>
      <c r="B684" s="226"/>
      <c r="C684" s="226"/>
      <c r="D684" s="226"/>
      <c r="E684" s="241"/>
      <c r="F684" s="226"/>
    </row>
    <row r="685" spans="1:6" x14ac:dyDescent="0.25">
      <c r="A685" s="226"/>
      <c r="B685" s="226"/>
      <c r="C685" s="226"/>
      <c r="D685" s="226"/>
      <c r="E685" s="241"/>
      <c r="F685" s="226"/>
    </row>
    <row r="686" spans="1:6" x14ac:dyDescent="0.25">
      <c r="A686" s="226"/>
      <c r="B686" s="226"/>
      <c r="C686" s="226"/>
      <c r="D686" s="226"/>
      <c r="E686" s="241"/>
      <c r="F686" s="226"/>
    </row>
    <row r="687" spans="1:6" x14ac:dyDescent="0.25">
      <c r="A687" s="226"/>
      <c r="B687" s="226"/>
      <c r="C687" s="226"/>
      <c r="D687" s="226"/>
      <c r="E687" s="241"/>
      <c r="F687" s="226"/>
    </row>
    <row r="688" spans="1:6" x14ac:dyDescent="0.25">
      <c r="A688" s="226"/>
      <c r="B688" s="226"/>
      <c r="C688" s="226"/>
      <c r="D688" s="226"/>
      <c r="E688" s="241"/>
      <c r="F688" s="226"/>
    </row>
    <row r="689" spans="1:6" x14ac:dyDescent="0.25">
      <c r="A689" s="226"/>
      <c r="B689" s="226"/>
      <c r="C689" s="226"/>
      <c r="D689" s="226"/>
      <c r="E689" s="241"/>
      <c r="F689" s="226"/>
    </row>
    <row r="690" spans="1:6" x14ac:dyDescent="0.25">
      <c r="A690" s="226"/>
      <c r="B690" s="226"/>
      <c r="C690" s="226"/>
      <c r="D690" s="226"/>
      <c r="E690" s="241"/>
      <c r="F690" s="226"/>
    </row>
    <row r="691" spans="1:6" x14ac:dyDescent="0.25">
      <c r="A691" s="226"/>
      <c r="B691" s="226"/>
      <c r="C691" s="226"/>
      <c r="D691" s="226"/>
      <c r="E691" s="241"/>
      <c r="F691" s="226"/>
    </row>
    <row r="692" spans="1:6" x14ac:dyDescent="0.25">
      <c r="A692" s="226"/>
      <c r="B692" s="226"/>
      <c r="C692" s="226"/>
      <c r="D692" s="226"/>
      <c r="E692" s="241"/>
      <c r="F692" s="226"/>
    </row>
    <row r="693" spans="1:6" x14ac:dyDescent="0.25">
      <c r="A693" s="226"/>
      <c r="B693" s="226"/>
      <c r="C693" s="226"/>
      <c r="D693" s="226"/>
      <c r="E693" s="241"/>
      <c r="F693" s="226"/>
    </row>
    <row r="694" spans="1:6" x14ac:dyDescent="0.25">
      <c r="A694" s="226"/>
      <c r="B694" s="226"/>
      <c r="C694" s="226"/>
      <c r="D694" s="226"/>
      <c r="E694" s="241"/>
      <c r="F694" s="226"/>
    </row>
    <row r="695" spans="1:6" x14ac:dyDescent="0.25">
      <c r="A695" s="226"/>
      <c r="B695" s="226"/>
      <c r="C695" s="226"/>
      <c r="D695" s="226"/>
      <c r="E695" s="241"/>
      <c r="F695" s="226"/>
    </row>
    <row r="696" spans="1:6" x14ac:dyDescent="0.25">
      <c r="A696" s="226"/>
      <c r="B696" s="226"/>
      <c r="C696" s="226"/>
      <c r="D696" s="226"/>
      <c r="E696" s="241"/>
      <c r="F696" s="226"/>
    </row>
    <row r="697" spans="1:6" x14ac:dyDescent="0.25">
      <c r="A697" s="226"/>
      <c r="B697" s="226"/>
      <c r="C697" s="226"/>
      <c r="D697" s="226"/>
      <c r="E697" s="241"/>
      <c r="F697" s="226"/>
    </row>
    <row r="698" spans="1:6" x14ac:dyDescent="0.25">
      <c r="A698" s="226"/>
      <c r="B698" s="226"/>
      <c r="C698" s="226"/>
      <c r="D698" s="226"/>
      <c r="E698" s="241"/>
      <c r="F698" s="226"/>
    </row>
    <row r="699" spans="1:6" x14ac:dyDescent="0.25">
      <c r="A699" s="226"/>
      <c r="B699" s="226"/>
      <c r="C699" s="226"/>
      <c r="D699" s="226"/>
      <c r="E699" s="241"/>
      <c r="F699" s="226"/>
    </row>
    <row r="700" spans="1:6" x14ac:dyDescent="0.25">
      <c r="A700" s="226"/>
      <c r="B700" s="226"/>
      <c r="C700" s="226"/>
      <c r="D700" s="226"/>
      <c r="E700" s="241"/>
      <c r="F700" s="226"/>
    </row>
    <row r="701" spans="1:6" x14ac:dyDescent="0.25">
      <c r="A701" s="226"/>
      <c r="B701" s="226"/>
      <c r="C701" s="226"/>
      <c r="D701" s="226"/>
      <c r="E701" s="241"/>
      <c r="F701" s="226"/>
    </row>
    <row r="702" spans="1:6" x14ac:dyDescent="0.25">
      <c r="A702" s="226"/>
      <c r="B702" s="226"/>
      <c r="C702" s="226"/>
      <c r="D702" s="226"/>
      <c r="E702" s="241"/>
      <c r="F702" s="226"/>
    </row>
    <row r="703" spans="1:6" x14ac:dyDescent="0.25">
      <c r="A703" s="226"/>
      <c r="B703" s="226"/>
      <c r="C703" s="226"/>
      <c r="D703" s="226"/>
      <c r="E703" s="241"/>
      <c r="F703" s="226"/>
    </row>
    <row r="704" spans="1:6" x14ac:dyDescent="0.25">
      <c r="A704" s="226"/>
      <c r="B704" s="226"/>
      <c r="C704" s="226"/>
      <c r="D704" s="226"/>
      <c r="E704" s="241"/>
      <c r="F704" s="226"/>
    </row>
    <row r="705" spans="1:6" x14ac:dyDescent="0.25">
      <c r="A705" s="226"/>
      <c r="B705" s="226"/>
      <c r="C705" s="226"/>
      <c r="D705" s="226"/>
      <c r="E705" s="241"/>
      <c r="F705" s="226"/>
    </row>
    <row r="706" spans="1:6" x14ac:dyDescent="0.25">
      <c r="A706" s="226"/>
      <c r="B706" s="226"/>
      <c r="C706" s="226"/>
      <c r="D706" s="226"/>
      <c r="E706" s="241"/>
      <c r="F706" s="226"/>
    </row>
    <row r="707" spans="1:6" x14ac:dyDescent="0.25">
      <c r="A707" s="226"/>
      <c r="B707" s="226"/>
      <c r="C707" s="226"/>
      <c r="D707" s="226"/>
      <c r="E707" s="241"/>
      <c r="F707" s="226"/>
    </row>
    <row r="708" spans="1:6" x14ac:dyDescent="0.25">
      <c r="A708" s="226"/>
      <c r="B708" s="226"/>
      <c r="C708" s="226"/>
      <c r="D708" s="226"/>
      <c r="E708" s="241"/>
      <c r="F708" s="226"/>
    </row>
    <row r="709" spans="1:6" x14ac:dyDescent="0.25">
      <c r="A709" s="226"/>
      <c r="B709" s="226"/>
      <c r="C709" s="226"/>
      <c r="D709" s="226"/>
      <c r="E709" s="241"/>
      <c r="F709" s="226"/>
    </row>
    <row r="710" spans="1:6" x14ac:dyDescent="0.25">
      <c r="A710" s="226"/>
      <c r="B710" s="226"/>
      <c r="C710" s="226"/>
      <c r="D710" s="226"/>
      <c r="E710" s="241"/>
      <c r="F710" s="226"/>
    </row>
    <row r="711" spans="1:6" x14ac:dyDescent="0.25">
      <c r="A711" s="226"/>
      <c r="B711" s="226"/>
      <c r="C711" s="226"/>
      <c r="D711" s="226"/>
      <c r="E711" s="241"/>
      <c r="F711" s="226"/>
    </row>
    <row r="712" spans="1:6" x14ac:dyDescent="0.25">
      <c r="A712" s="226"/>
      <c r="B712" s="226"/>
      <c r="C712" s="226"/>
      <c r="D712" s="226"/>
      <c r="E712" s="241"/>
      <c r="F712" s="226"/>
    </row>
    <row r="713" spans="1:6" x14ac:dyDescent="0.25">
      <c r="A713" s="226"/>
      <c r="B713" s="226"/>
      <c r="C713" s="226"/>
      <c r="D713" s="226"/>
      <c r="E713" s="241"/>
      <c r="F713" s="226"/>
    </row>
    <row r="714" spans="1:6" x14ac:dyDescent="0.25">
      <c r="A714" s="226"/>
      <c r="B714" s="226"/>
      <c r="C714" s="226"/>
      <c r="D714" s="226"/>
      <c r="E714" s="241"/>
      <c r="F714" s="226"/>
    </row>
    <row r="715" spans="1:6" x14ac:dyDescent="0.25">
      <c r="A715" s="226"/>
      <c r="B715" s="226"/>
      <c r="C715" s="226"/>
      <c r="D715" s="226"/>
      <c r="E715" s="241"/>
      <c r="F715" s="226"/>
    </row>
    <row r="716" spans="1:6" x14ac:dyDescent="0.25">
      <c r="A716" s="226"/>
      <c r="B716" s="226"/>
      <c r="C716" s="226"/>
      <c r="D716" s="226"/>
      <c r="E716" s="241"/>
      <c r="F716" s="226"/>
    </row>
    <row r="717" spans="1:6" x14ac:dyDescent="0.25">
      <c r="A717" s="226"/>
      <c r="B717" s="226"/>
      <c r="C717" s="226"/>
      <c r="D717" s="226"/>
      <c r="E717" s="241"/>
      <c r="F717" s="226"/>
    </row>
    <row r="718" spans="1:6" x14ac:dyDescent="0.25">
      <c r="A718" s="226"/>
      <c r="B718" s="226"/>
      <c r="C718" s="226"/>
      <c r="D718" s="226"/>
      <c r="E718" s="241"/>
      <c r="F718" s="226"/>
    </row>
    <row r="719" spans="1:6" x14ac:dyDescent="0.25">
      <c r="A719" s="226"/>
      <c r="B719" s="226"/>
      <c r="C719" s="226"/>
      <c r="D719" s="226"/>
      <c r="E719" s="241"/>
      <c r="F719" s="226"/>
    </row>
    <row r="720" spans="1:6" x14ac:dyDescent="0.25">
      <c r="A720" s="226"/>
      <c r="B720" s="226"/>
      <c r="C720" s="226"/>
      <c r="D720" s="226"/>
      <c r="E720" s="241"/>
      <c r="F720" s="226"/>
    </row>
    <row r="721" spans="1:6" x14ac:dyDescent="0.25">
      <c r="A721" s="226"/>
      <c r="B721" s="226"/>
      <c r="C721" s="226"/>
      <c r="D721" s="226"/>
      <c r="E721" s="241"/>
      <c r="F721" s="226"/>
    </row>
    <row r="722" spans="1:6" x14ac:dyDescent="0.25">
      <c r="A722" s="226"/>
      <c r="B722" s="226"/>
      <c r="C722" s="226"/>
      <c r="D722" s="226"/>
      <c r="E722" s="241"/>
      <c r="F722" s="226"/>
    </row>
    <row r="723" spans="1:6" x14ac:dyDescent="0.25">
      <c r="A723" s="226"/>
      <c r="B723" s="226"/>
      <c r="C723" s="226"/>
      <c r="D723" s="226"/>
      <c r="E723" s="241"/>
      <c r="F723" s="226"/>
    </row>
    <row r="724" spans="1:6" x14ac:dyDescent="0.25">
      <c r="A724" s="226"/>
      <c r="B724" s="226"/>
      <c r="C724" s="226"/>
      <c r="D724" s="226"/>
      <c r="E724" s="241"/>
      <c r="F724" s="226"/>
    </row>
    <row r="725" spans="1:6" x14ac:dyDescent="0.25">
      <c r="A725" s="226"/>
      <c r="B725" s="226"/>
      <c r="C725" s="226"/>
      <c r="D725" s="226"/>
      <c r="E725" s="241"/>
      <c r="F725" s="226"/>
    </row>
    <row r="726" spans="1:6" x14ac:dyDescent="0.25">
      <c r="A726" s="226"/>
      <c r="B726" s="226"/>
      <c r="C726" s="226"/>
      <c r="D726" s="226"/>
      <c r="E726" s="241"/>
      <c r="F726" s="226"/>
    </row>
    <row r="727" spans="1:6" x14ac:dyDescent="0.25">
      <c r="A727" s="226"/>
      <c r="B727" s="226"/>
      <c r="C727" s="226"/>
      <c r="D727" s="226"/>
      <c r="E727" s="241"/>
      <c r="F727" s="226"/>
    </row>
    <row r="728" spans="1:6" x14ac:dyDescent="0.25">
      <c r="A728" s="226"/>
      <c r="B728" s="226"/>
      <c r="C728" s="226"/>
      <c r="D728" s="226"/>
      <c r="E728" s="241"/>
      <c r="F728" s="226"/>
    </row>
    <row r="729" spans="1:6" x14ac:dyDescent="0.25">
      <c r="A729" s="226"/>
      <c r="B729" s="226"/>
      <c r="C729" s="226"/>
      <c r="D729" s="226"/>
      <c r="E729" s="241"/>
      <c r="F729" s="226"/>
    </row>
    <row r="730" spans="1:6" x14ac:dyDescent="0.25">
      <c r="A730" s="226"/>
      <c r="B730" s="226"/>
      <c r="C730" s="226"/>
      <c r="D730" s="226"/>
      <c r="E730" s="241"/>
      <c r="F730" s="226"/>
    </row>
    <row r="731" spans="1:6" x14ac:dyDescent="0.25">
      <c r="A731" s="226"/>
      <c r="B731" s="226"/>
      <c r="C731" s="226"/>
      <c r="D731" s="226"/>
      <c r="E731" s="241"/>
      <c r="F731" s="226"/>
    </row>
    <row r="732" spans="1:6" x14ac:dyDescent="0.25">
      <c r="A732" s="226"/>
      <c r="B732" s="226"/>
      <c r="C732" s="226"/>
      <c r="D732" s="226"/>
      <c r="E732" s="241"/>
      <c r="F732" s="226"/>
    </row>
    <row r="733" spans="1:6" x14ac:dyDescent="0.25">
      <c r="A733" s="226"/>
      <c r="B733" s="226"/>
      <c r="C733" s="226"/>
      <c r="D733" s="226"/>
      <c r="E733" s="241"/>
      <c r="F733" s="226"/>
    </row>
    <row r="734" spans="1:6" x14ac:dyDescent="0.25">
      <c r="A734" s="226"/>
      <c r="B734" s="226"/>
      <c r="C734" s="226"/>
      <c r="D734" s="226"/>
      <c r="E734" s="241"/>
      <c r="F734" s="226"/>
    </row>
    <row r="735" spans="1:6" x14ac:dyDescent="0.25">
      <c r="A735" s="226"/>
      <c r="B735" s="226"/>
      <c r="C735" s="226"/>
      <c r="D735" s="226"/>
      <c r="E735" s="241"/>
      <c r="F735" s="226"/>
    </row>
    <row r="736" spans="1:6" x14ac:dyDescent="0.25">
      <c r="A736" s="226"/>
      <c r="B736" s="226"/>
      <c r="C736" s="226"/>
      <c r="D736" s="226"/>
      <c r="E736" s="241"/>
      <c r="F736" s="226"/>
    </row>
    <row r="737" spans="1:6" x14ac:dyDescent="0.25">
      <c r="A737" s="226"/>
      <c r="B737" s="226"/>
      <c r="C737" s="226"/>
      <c r="D737" s="226"/>
      <c r="E737" s="241"/>
      <c r="F737" s="226"/>
    </row>
    <row r="738" spans="1:6" x14ac:dyDescent="0.25">
      <c r="A738" s="226"/>
      <c r="B738" s="226"/>
      <c r="C738" s="226"/>
      <c r="D738" s="226"/>
      <c r="E738" s="241"/>
      <c r="F738" s="226"/>
    </row>
    <row r="739" spans="1:6" x14ac:dyDescent="0.25">
      <c r="A739" s="226"/>
      <c r="B739" s="226"/>
      <c r="C739" s="226"/>
      <c r="D739" s="226"/>
      <c r="E739" s="241"/>
      <c r="F739" s="226"/>
    </row>
    <row r="740" spans="1:6" x14ac:dyDescent="0.25">
      <c r="A740" s="226"/>
      <c r="B740" s="226"/>
      <c r="C740" s="226"/>
      <c r="D740" s="226"/>
      <c r="E740" s="241"/>
      <c r="F740" s="226"/>
    </row>
    <row r="741" spans="1:6" x14ac:dyDescent="0.25">
      <c r="A741" s="226"/>
      <c r="B741" s="226"/>
      <c r="C741" s="226"/>
      <c r="D741" s="226"/>
      <c r="E741" s="241"/>
      <c r="F741" s="226"/>
    </row>
    <row r="742" spans="1:6" x14ac:dyDescent="0.25">
      <c r="A742" s="226"/>
      <c r="B742" s="226"/>
      <c r="C742" s="226"/>
      <c r="D742" s="226"/>
      <c r="E742" s="241"/>
      <c r="F742" s="226"/>
    </row>
    <row r="743" spans="1:6" x14ac:dyDescent="0.25">
      <c r="A743" s="226"/>
      <c r="B743" s="226"/>
      <c r="C743" s="226"/>
      <c r="D743" s="226"/>
      <c r="E743" s="241"/>
      <c r="F743" s="226"/>
    </row>
    <row r="744" spans="1:6" x14ac:dyDescent="0.25">
      <c r="A744" s="226"/>
      <c r="B744" s="226"/>
      <c r="C744" s="226"/>
      <c r="D744" s="226"/>
      <c r="E744" s="241"/>
      <c r="F744" s="226"/>
    </row>
    <row r="745" spans="1:6" x14ac:dyDescent="0.25">
      <c r="A745" s="226"/>
      <c r="B745" s="226"/>
      <c r="C745" s="226"/>
      <c r="D745" s="226"/>
      <c r="E745" s="241"/>
      <c r="F745" s="226"/>
    </row>
    <row r="746" spans="1:6" x14ac:dyDescent="0.25">
      <c r="A746" s="226"/>
      <c r="B746" s="226"/>
      <c r="C746" s="226"/>
      <c r="D746" s="226"/>
      <c r="E746" s="241"/>
      <c r="F746" s="226"/>
    </row>
    <row r="747" spans="1:6" x14ac:dyDescent="0.25">
      <c r="A747" s="226"/>
      <c r="B747" s="226"/>
      <c r="C747" s="226"/>
      <c r="D747" s="226"/>
      <c r="E747" s="241"/>
      <c r="F747" s="226"/>
    </row>
    <row r="748" spans="1:6" x14ac:dyDescent="0.25">
      <c r="A748" s="226"/>
      <c r="B748" s="226"/>
      <c r="C748" s="226"/>
      <c r="D748" s="226"/>
      <c r="E748" s="241"/>
      <c r="F748" s="226"/>
    </row>
    <row r="749" spans="1:6" x14ac:dyDescent="0.25">
      <c r="A749" s="226"/>
      <c r="B749" s="226"/>
      <c r="C749" s="226"/>
      <c r="D749" s="226"/>
      <c r="E749" s="241"/>
      <c r="F749" s="226"/>
    </row>
    <row r="750" spans="1:6" x14ac:dyDescent="0.25">
      <c r="A750" s="226"/>
      <c r="B750" s="226"/>
      <c r="C750" s="226"/>
      <c r="D750" s="226"/>
      <c r="E750" s="241"/>
      <c r="F750" s="226"/>
    </row>
    <row r="751" spans="1:6" x14ac:dyDescent="0.25">
      <c r="A751" s="226"/>
      <c r="B751" s="226"/>
      <c r="C751" s="226"/>
      <c r="D751" s="226"/>
      <c r="E751" s="241"/>
      <c r="F751" s="226"/>
    </row>
    <row r="752" spans="1:6" x14ac:dyDescent="0.25">
      <c r="A752" s="226"/>
      <c r="B752" s="226"/>
      <c r="C752" s="226"/>
      <c r="D752" s="226"/>
      <c r="E752" s="241"/>
      <c r="F752" s="226"/>
    </row>
    <row r="753" spans="1:6" x14ac:dyDescent="0.25">
      <c r="A753" s="226"/>
      <c r="B753" s="226"/>
      <c r="C753" s="226"/>
      <c r="D753" s="226"/>
      <c r="E753" s="241"/>
      <c r="F753" s="226"/>
    </row>
    <row r="754" spans="1:6" x14ac:dyDescent="0.25">
      <c r="A754" s="226"/>
      <c r="B754" s="226"/>
      <c r="C754" s="226"/>
      <c r="D754" s="226"/>
      <c r="E754" s="241"/>
      <c r="F754" s="226"/>
    </row>
    <row r="755" spans="1:6" x14ac:dyDescent="0.25">
      <c r="A755" s="226"/>
      <c r="B755" s="226"/>
      <c r="C755" s="226"/>
      <c r="D755" s="226"/>
      <c r="E755" s="241"/>
      <c r="F755" s="226"/>
    </row>
    <row r="756" spans="1:6" x14ac:dyDescent="0.25">
      <c r="A756" s="226"/>
      <c r="B756" s="226"/>
      <c r="C756" s="226"/>
      <c r="D756" s="226"/>
      <c r="E756" s="241"/>
      <c r="F756" s="226"/>
    </row>
    <row r="757" spans="1:6" x14ac:dyDescent="0.25">
      <c r="A757" s="226"/>
      <c r="B757" s="226"/>
      <c r="C757" s="226"/>
      <c r="D757" s="226"/>
      <c r="E757" s="241"/>
      <c r="F757" s="226"/>
    </row>
    <row r="758" spans="1:6" x14ac:dyDescent="0.25">
      <c r="A758" s="226"/>
      <c r="B758" s="226"/>
      <c r="C758" s="226"/>
      <c r="D758" s="226"/>
      <c r="E758" s="241"/>
      <c r="F758" s="226"/>
    </row>
    <row r="759" spans="1:6" x14ac:dyDescent="0.25">
      <c r="A759" s="226"/>
      <c r="B759" s="226"/>
      <c r="C759" s="226"/>
      <c r="D759" s="226"/>
      <c r="E759" s="241"/>
      <c r="F759" s="226"/>
    </row>
    <row r="760" spans="1:6" x14ac:dyDescent="0.25">
      <c r="A760" s="226"/>
      <c r="B760" s="226"/>
      <c r="C760" s="226"/>
      <c r="D760" s="226"/>
      <c r="E760" s="241"/>
      <c r="F760" s="226"/>
    </row>
    <row r="761" spans="1:6" x14ac:dyDescent="0.25">
      <c r="A761" s="226"/>
      <c r="B761" s="226"/>
      <c r="C761" s="226"/>
      <c r="D761" s="226"/>
      <c r="E761" s="241"/>
      <c r="F761" s="226"/>
    </row>
    <row r="762" spans="1:6" x14ac:dyDescent="0.25">
      <c r="A762" s="226"/>
      <c r="B762" s="226"/>
      <c r="C762" s="226"/>
      <c r="D762" s="226"/>
      <c r="E762" s="241"/>
      <c r="F762" s="226"/>
    </row>
    <row r="763" spans="1:6" x14ac:dyDescent="0.25">
      <c r="A763" s="226"/>
      <c r="B763" s="226"/>
      <c r="C763" s="226"/>
      <c r="D763" s="226"/>
      <c r="E763" s="241"/>
      <c r="F763" s="226"/>
    </row>
    <row r="764" spans="1:6" x14ac:dyDescent="0.25">
      <c r="A764" s="226"/>
      <c r="B764" s="226"/>
      <c r="C764" s="226"/>
      <c r="D764" s="226"/>
      <c r="E764" s="241"/>
      <c r="F764" s="226"/>
    </row>
    <row r="765" spans="1:6" x14ac:dyDescent="0.25">
      <c r="A765" s="226"/>
      <c r="B765" s="226"/>
      <c r="C765" s="226"/>
      <c r="D765" s="226"/>
      <c r="E765" s="241"/>
      <c r="F765" s="226"/>
    </row>
    <row r="766" spans="1:6" x14ac:dyDescent="0.25">
      <c r="A766" s="226"/>
      <c r="B766" s="226"/>
      <c r="C766" s="226"/>
      <c r="D766" s="226"/>
      <c r="E766" s="241"/>
      <c r="F766" s="226"/>
    </row>
    <row r="767" spans="1:6" x14ac:dyDescent="0.25">
      <c r="A767" s="226"/>
      <c r="B767" s="226"/>
      <c r="C767" s="226"/>
      <c r="D767" s="226"/>
      <c r="E767" s="241"/>
      <c r="F767" s="226"/>
    </row>
    <row r="768" spans="1:6" x14ac:dyDescent="0.25">
      <c r="A768" s="226"/>
      <c r="B768" s="226"/>
      <c r="C768" s="226"/>
      <c r="D768" s="226"/>
      <c r="E768" s="241"/>
      <c r="F768" s="226"/>
    </row>
    <row r="769" spans="1:6" x14ac:dyDescent="0.25">
      <c r="A769" s="226"/>
      <c r="B769" s="226"/>
      <c r="C769" s="226"/>
      <c r="D769" s="226"/>
      <c r="E769" s="241"/>
      <c r="F769" s="226"/>
    </row>
    <row r="770" spans="1:6" x14ac:dyDescent="0.25">
      <c r="A770" s="226"/>
      <c r="B770" s="226"/>
      <c r="C770" s="226"/>
      <c r="D770" s="226"/>
      <c r="E770" s="241"/>
      <c r="F770" s="226"/>
    </row>
    <row r="771" spans="1:6" x14ac:dyDescent="0.25">
      <c r="A771" s="226"/>
      <c r="B771" s="226"/>
      <c r="C771" s="226"/>
      <c r="D771" s="226"/>
      <c r="E771" s="241"/>
      <c r="F771" s="226"/>
    </row>
    <row r="772" spans="1:6" x14ac:dyDescent="0.25">
      <c r="A772" s="226"/>
      <c r="B772" s="226"/>
      <c r="C772" s="226"/>
      <c r="D772" s="226"/>
      <c r="E772" s="241"/>
      <c r="F772" s="226"/>
    </row>
    <row r="773" spans="1:6" x14ac:dyDescent="0.25">
      <c r="A773" s="226"/>
      <c r="B773" s="226"/>
      <c r="C773" s="226"/>
      <c r="D773" s="226"/>
      <c r="E773" s="241"/>
      <c r="F773" s="226"/>
    </row>
    <row r="774" spans="1:6" x14ac:dyDescent="0.25">
      <c r="A774" s="226"/>
      <c r="B774" s="226"/>
      <c r="C774" s="226"/>
      <c r="D774" s="226"/>
      <c r="E774" s="241"/>
      <c r="F774" s="226"/>
    </row>
    <row r="775" spans="1:6" x14ac:dyDescent="0.25">
      <c r="A775" s="226"/>
      <c r="B775" s="226"/>
      <c r="C775" s="226"/>
      <c r="D775" s="226"/>
      <c r="E775" s="241"/>
      <c r="F775" s="226"/>
    </row>
    <row r="776" spans="1:6" x14ac:dyDescent="0.25">
      <c r="A776" s="226"/>
      <c r="B776" s="226"/>
      <c r="C776" s="226"/>
      <c r="D776" s="226"/>
      <c r="E776" s="241"/>
      <c r="F776" s="226"/>
    </row>
    <row r="777" spans="1:6" x14ac:dyDescent="0.25">
      <c r="A777" s="226"/>
      <c r="B777" s="226"/>
      <c r="C777" s="226"/>
      <c r="D777" s="226"/>
      <c r="E777" s="241"/>
      <c r="F777" s="226"/>
    </row>
    <row r="778" spans="1:6" x14ac:dyDescent="0.25">
      <c r="A778" s="226"/>
      <c r="B778" s="226"/>
      <c r="C778" s="226"/>
      <c r="D778" s="226"/>
      <c r="E778" s="241"/>
      <c r="F778" s="226"/>
    </row>
    <row r="779" spans="1:6" x14ac:dyDescent="0.25">
      <c r="A779" s="226"/>
      <c r="B779" s="226"/>
      <c r="C779" s="226"/>
      <c r="D779" s="226"/>
      <c r="E779" s="241"/>
      <c r="F779" s="226"/>
    </row>
    <row r="780" spans="1:6" x14ac:dyDescent="0.25">
      <c r="A780" s="226"/>
      <c r="B780" s="226"/>
      <c r="C780" s="226"/>
      <c r="D780" s="226"/>
      <c r="E780" s="241"/>
      <c r="F780" s="226"/>
    </row>
    <row r="781" spans="1:6" x14ac:dyDescent="0.25">
      <c r="A781" s="226"/>
      <c r="B781" s="226"/>
      <c r="C781" s="226"/>
      <c r="D781" s="226"/>
      <c r="E781" s="241"/>
      <c r="F781" s="226"/>
    </row>
    <row r="782" spans="1:6" x14ac:dyDescent="0.25">
      <c r="A782" s="226"/>
      <c r="B782" s="226"/>
      <c r="C782" s="226"/>
      <c r="D782" s="226"/>
      <c r="E782" s="241"/>
      <c r="F782" s="226"/>
    </row>
    <row r="783" spans="1:6" x14ac:dyDescent="0.25">
      <c r="A783" s="226"/>
      <c r="B783" s="226"/>
      <c r="C783" s="226"/>
      <c r="D783" s="226"/>
      <c r="E783" s="241"/>
      <c r="F783" s="226"/>
    </row>
    <row r="784" spans="1:6" x14ac:dyDescent="0.25">
      <c r="A784" s="226"/>
      <c r="B784" s="226"/>
      <c r="C784" s="226"/>
      <c r="D784" s="226"/>
      <c r="E784" s="241"/>
      <c r="F784" s="226"/>
    </row>
    <row r="785" spans="1:6" x14ac:dyDescent="0.25">
      <c r="A785" s="226"/>
      <c r="B785" s="226"/>
      <c r="C785" s="226"/>
      <c r="D785" s="226"/>
      <c r="E785" s="241"/>
      <c r="F785" s="226"/>
    </row>
    <row r="786" spans="1:6" x14ac:dyDescent="0.25">
      <c r="A786" s="226"/>
      <c r="B786" s="226"/>
      <c r="C786" s="226"/>
      <c r="D786" s="226"/>
      <c r="E786" s="241"/>
      <c r="F786" s="226"/>
    </row>
    <row r="787" spans="1:6" x14ac:dyDescent="0.25">
      <c r="A787" s="226"/>
      <c r="B787" s="226"/>
      <c r="C787" s="226"/>
      <c r="D787" s="226"/>
      <c r="E787" s="241"/>
      <c r="F787" s="226"/>
    </row>
    <row r="788" spans="1:6" x14ac:dyDescent="0.25">
      <c r="A788" s="226"/>
      <c r="B788" s="226"/>
      <c r="C788" s="226"/>
      <c r="D788" s="226"/>
      <c r="E788" s="241"/>
      <c r="F788" s="226"/>
    </row>
    <row r="789" spans="1:6" x14ac:dyDescent="0.25">
      <c r="A789" s="226"/>
      <c r="B789" s="226"/>
      <c r="C789" s="226"/>
      <c r="D789" s="226"/>
      <c r="E789" s="241"/>
      <c r="F789" s="226"/>
    </row>
    <row r="790" spans="1:6" x14ac:dyDescent="0.25">
      <c r="A790" s="226"/>
      <c r="B790" s="226"/>
      <c r="C790" s="226"/>
      <c r="D790" s="226"/>
      <c r="E790" s="241"/>
      <c r="F790" s="226"/>
    </row>
    <row r="791" spans="1:6" x14ac:dyDescent="0.25">
      <c r="A791" s="226"/>
      <c r="B791" s="226"/>
      <c r="C791" s="226"/>
      <c r="D791" s="226"/>
      <c r="E791" s="241"/>
      <c r="F791" s="226"/>
    </row>
    <row r="792" spans="1:6" x14ac:dyDescent="0.25">
      <c r="A792" s="226"/>
      <c r="B792" s="226"/>
      <c r="C792" s="226"/>
      <c r="D792" s="226"/>
      <c r="E792" s="241"/>
      <c r="F792" s="226"/>
    </row>
    <row r="793" spans="1:6" x14ac:dyDescent="0.25">
      <c r="A793" s="226"/>
      <c r="B793" s="226"/>
      <c r="C793" s="226"/>
      <c r="D793" s="226"/>
      <c r="E793" s="241"/>
      <c r="F793" s="226"/>
    </row>
    <row r="794" spans="1:6" x14ac:dyDescent="0.25">
      <c r="A794" s="226"/>
      <c r="B794" s="226"/>
      <c r="C794" s="226"/>
      <c r="D794" s="226"/>
      <c r="E794" s="241"/>
      <c r="F794" s="226"/>
    </row>
    <row r="795" spans="1:6" x14ac:dyDescent="0.25">
      <c r="A795" s="226"/>
      <c r="B795" s="226"/>
      <c r="C795" s="226"/>
      <c r="D795" s="226"/>
      <c r="E795" s="241"/>
      <c r="F795" s="226"/>
    </row>
    <row r="796" spans="1:6" x14ac:dyDescent="0.25">
      <c r="A796" s="226"/>
      <c r="B796" s="226"/>
      <c r="C796" s="226"/>
      <c r="D796" s="226"/>
      <c r="E796" s="241"/>
      <c r="F796" s="226"/>
    </row>
    <row r="797" spans="1:6" x14ac:dyDescent="0.25">
      <c r="A797" s="226"/>
      <c r="B797" s="226"/>
      <c r="C797" s="226"/>
      <c r="D797" s="226"/>
      <c r="E797" s="241"/>
      <c r="F797" s="226"/>
    </row>
    <row r="798" spans="1:6" x14ac:dyDescent="0.25">
      <c r="A798" s="226"/>
      <c r="B798" s="226"/>
      <c r="C798" s="226"/>
      <c r="D798" s="226"/>
      <c r="E798" s="241"/>
      <c r="F798" s="226"/>
    </row>
    <row r="799" spans="1:6" x14ac:dyDescent="0.25">
      <c r="A799" s="226"/>
      <c r="B799" s="226"/>
      <c r="C799" s="226"/>
      <c r="D799" s="226"/>
      <c r="E799" s="241"/>
      <c r="F799" s="226"/>
    </row>
    <row r="800" spans="1:6" x14ac:dyDescent="0.25">
      <c r="A800" s="226"/>
      <c r="B800" s="226"/>
      <c r="C800" s="226"/>
      <c r="D800" s="226"/>
      <c r="E800" s="241"/>
      <c r="F800" s="226"/>
    </row>
    <row r="801" spans="1:6" x14ac:dyDescent="0.25">
      <c r="A801" s="226"/>
      <c r="B801" s="226"/>
      <c r="C801" s="226"/>
      <c r="D801" s="226"/>
      <c r="E801" s="241"/>
      <c r="F801" s="226"/>
    </row>
    <row r="802" spans="1:6" x14ac:dyDescent="0.25">
      <c r="A802" s="226"/>
      <c r="B802" s="226"/>
      <c r="C802" s="226"/>
      <c r="D802" s="226"/>
      <c r="E802" s="241"/>
      <c r="F802" s="226"/>
    </row>
    <row r="803" spans="1:6" x14ac:dyDescent="0.25">
      <c r="A803" s="226"/>
      <c r="B803" s="226"/>
      <c r="C803" s="226"/>
      <c r="D803" s="226"/>
      <c r="E803" s="241"/>
      <c r="F803" s="226"/>
    </row>
    <row r="804" spans="1:6" x14ac:dyDescent="0.25">
      <c r="A804" s="226"/>
      <c r="B804" s="226"/>
      <c r="C804" s="226"/>
      <c r="D804" s="226"/>
      <c r="E804" s="241"/>
      <c r="F804" s="226"/>
    </row>
    <row r="805" spans="1:6" x14ac:dyDescent="0.25">
      <c r="A805" s="226"/>
      <c r="B805" s="226"/>
      <c r="C805" s="226"/>
      <c r="D805" s="226"/>
      <c r="E805" s="241"/>
      <c r="F805" s="226"/>
    </row>
    <row r="806" spans="1:6" x14ac:dyDescent="0.25">
      <c r="A806" s="226"/>
      <c r="B806" s="226"/>
      <c r="C806" s="226"/>
      <c r="D806" s="226"/>
      <c r="E806" s="241"/>
      <c r="F806" s="226"/>
    </row>
    <row r="807" spans="1:6" x14ac:dyDescent="0.25">
      <c r="A807" s="226"/>
      <c r="B807" s="226"/>
      <c r="C807" s="226"/>
      <c r="D807" s="226"/>
      <c r="E807" s="241"/>
      <c r="F807" s="226"/>
    </row>
    <row r="808" spans="1:6" x14ac:dyDescent="0.25">
      <c r="A808" s="226"/>
      <c r="B808" s="226"/>
      <c r="C808" s="226"/>
      <c r="D808" s="226"/>
      <c r="E808" s="241"/>
      <c r="F808" s="226"/>
    </row>
    <row r="809" spans="1:6" x14ac:dyDescent="0.25">
      <c r="A809" s="226"/>
      <c r="B809" s="226"/>
      <c r="C809" s="226"/>
      <c r="D809" s="226"/>
      <c r="E809" s="241"/>
      <c r="F809" s="226"/>
    </row>
    <row r="810" spans="1:6" x14ac:dyDescent="0.25">
      <c r="A810" s="226"/>
      <c r="B810" s="226"/>
      <c r="C810" s="226"/>
      <c r="D810" s="226"/>
      <c r="E810" s="241"/>
      <c r="F810" s="226"/>
    </row>
    <row r="811" spans="1:6" x14ac:dyDescent="0.25">
      <c r="A811" s="226"/>
      <c r="B811" s="226"/>
      <c r="C811" s="226"/>
      <c r="D811" s="226"/>
      <c r="E811" s="241"/>
      <c r="F811" s="226"/>
    </row>
    <row r="812" spans="1:6" x14ac:dyDescent="0.25">
      <c r="A812" s="226"/>
      <c r="B812" s="226"/>
      <c r="C812" s="226"/>
      <c r="D812" s="226"/>
      <c r="E812" s="241"/>
      <c r="F812" s="226"/>
    </row>
    <row r="813" spans="1:6" x14ac:dyDescent="0.25">
      <c r="A813" s="226"/>
      <c r="B813" s="226"/>
      <c r="C813" s="226"/>
      <c r="D813" s="226"/>
      <c r="E813" s="241"/>
      <c r="F813" s="226"/>
    </row>
    <row r="814" spans="1:6" x14ac:dyDescent="0.25">
      <c r="A814" s="226"/>
      <c r="B814" s="226"/>
      <c r="C814" s="226"/>
      <c r="D814" s="226"/>
      <c r="E814" s="241"/>
      <c r="F814" s="226"/>
    </row>
    <row r="815" spans="1:6" x14ac:dyDescent="0.25">
      <c r="A815" s="226"/>
      <c r="B815" s="226"/>
      <c r="C815" s="226"/>
      <c r="D815" s="226"/>
      <c r="E815" s="241"/>
      <c r="F815" s="226"/>
    </row>
    <row r="816" spans="1:6" x14ac:dyDescent="0.25">
      <c r="A816" s="226"/>
      <c r="B816" s="226"/>
      <c r="C816" s="226"/>
      <c r="D816" s="226"/>
      <c r="E816" s="241"/>
      <c r="F816" s="226"/>
    </row>
    <row r="817" spans="1:6" x14ac:dyDescent="0.25">
      <c r="A817" s="226"/>
      <c r="B817" s="226"/>
      <c r="C817" s="226"/>
      <c r="D817" s="226"/>
      <c r="E817" s="241"/>
      <c r="F817" s="226"/>
    </row>
    <row r="818" spans="1:6" x14ac:dyDescent="0.25">
      <c r="A818" s="226"/>
      <c r="B818" s="226"/>
      <c r="C818" s="226"/>
      <c r="D818" s="226"/>
      <c r="E818" s="241"/>
      <c r="F818" s="226"/>
    </row>
    <row r="819" spans="1:6" x14ac:dyDescent="0.25">
      <c r="A819" s="226"/>
      <c r="B819" s="226"/>
      <c r="C819" s="226"/>
      <c r="D819" s="226"/>
      <c r="E819" s="241"/>
      <c r="F819" s="226"/>
    </row>
    <row r="820" spans="1:6" x14ac:dyDescent="0.25">
      <c r="A820" s="226"/>
      <c r="B820" s="226"/>
      <c r="C820" s="226"/>
      <c r="D820" s="226"/>
      <c r="E820" s="241"/>
      <c r="F820" s="226"/>
    </row>
    <row r="821" spans="1:6" x14ac:dyDescent="0.25">
      <c r="A821" s="226"/>
      <c r="B821" s="226"/>
      <c r="C821" s="226"/>
      <c r="D821" s="226"/>
      <c r="E821" s="241"/>
      <c r="F821" s="226"/>
    </row>
    <row r="822" spans="1:6" x14ac:dyDescent="0.25">
      <c r="A822" s="226"/>
      <c r="B822" s="226"/>
      <c r="C822" s="226"/>
      <c r="D822" s="226"/>
      <c r="E822" s="241"/>
      <c r="F822" s="226"/>
    </row>
    <row r="823" spans="1:6" x14ac:dyDescent="0.25">
      <c r="A823" s="226"/>
      <c r="B823" s="226"/>
      <c r="C823" s="226"/>
      <c r="D823" s="226"/>
      <c r="E823" s="241"/>
      <c r="F823" s="226"/>
    </row>
    <row r="824" spans="1:6" x14ac:dyDescent="0.25">
      <c r="A824" s="226"/>
      <c r="B824" s="226"/>
      <c r="C824" s="226"/>
      <c r="D824" s="226"/>
      <c r="E824" s="241"/>
      <c r="F824" s="226"/>
    </row>
    <row r="825" spans="1:6" x14ac:dyDescent="0.25">
      <c r="A825" s="226"/>
      <c r="B825" s="226"/>
      <c r="C825" s="226"/>
      <c r="D825" s="226"/>
      <c r="E825" s="241"/>
      <c r="F825" s="226"/>
    </row>
    <row r="826" spans="1:6" x14ac:dyDescent="0.25">
      <c r="A826" s="226"/>
      <c r="B826" s="226"/>
      <c r="C826" s="226"/>
      <c r="D826" s="226"/>
      <c r="E826" s="241"/>
      <c r="F826" s="226"/>
    </row>
    <row r="827" spans="1:6" x14ac:dyDescent="0.25">
      <c r="A827" s="226"/>
      <c r="B827" s="226"/>
      <c r="C827" s="226"/>
      <c r="D827" s="226"/>
      <c r="E827" s="241"/>
      <c r="F827" s="226"/>
    </row>
    <row r="828" spans="1:6" x14ac:dyDescent="0.25">
      <c r="A828" s="226"/>
      <c r="B828" s="226" t="s">
        <v>1770</v>
      </c>
      <c r="C828" s="226"/>
      <c r="D828" s="226"/>
      <c r="E828" s="241"/>
      <c r="F828" s="226"/>
    </row>
    <row r="829" spans="1:6" x14ac:dyDescent="0.25">
      <c r="A829" s="226"/>
      <c r="B829" s="226"/>
      <c r="C829" s="226"/>
      <c r="D829" s="226"/>
      <c r="E829" s="241"/>
      <c r="F829" s="226"/>
    </row>
    <row r="830" spans="1:6" x14ac:dyDescent="0.25">
      <c r="A830" s="226"/>
      <c r="B830" s="226" t="s">
        <v>1771</v>
      </c>
      <c r="C830" s="226"/>
      <c r="D830" s="226"/>
      <c r="E830" s="241"/>
      <c r="F830" s="226"/>
    </row>
    <row r="831" spans="1:6" x14ac:dyDescent="0.25">
      <c r="A831" s="226"/>
      <c r="B831" s="226"/>
      <c r="C831" s="226"/>
      <c r="D831" s="226"/>
      <c r="E831" s="241"/>
      <c r="F831" s="226"/>
    </row>
    <row r="832" spans="1:6" x14ac:dyDescent="0.25">
      <c r="A832" s="226"/>
      <c r="B832" s="226"/>
      <c r="C832" s="226"/>
      <c r="D832" s="226"/>
      <c r="E832" s="241"/>
      <c r="F832" s="226"/>
    </row>
    <row r="833" spans="1:6" x14ac:dyDescent="0.25">
      <c r="A833" s="226"/>
      <c r="B833" s="226"/>
      <c r="C833" s="226"/>
      <c r="D833" s="226"/>
      <c r="E833" s="241"/>
      <c r="F833" s="226"/>
    </row>
    <row r="834" spans="1:6" x14ac:dyDescent="0.25">
      <c r="A834" s="226"/>
      <c r="B834" s="226"/>
      <c r="C834" s="226"/>
      <c r="D834" s="226"/>
      <c r="E834" s="241"/>
      <c r="F834" s="226"/>
    </row>
    <row r="835" spans="1:6" x14ac:dyDescent="0.25">
      <c r="A835" s="226"/>
      <c r="B835" s="226"/>
      <c r="C835" s="226"/>
      <c r="D835" s="226"/>
      <c r="E835" s="241"/>
      <c r="F835" s="226"/>
    </row>
    <row r="836" spans="1:6" x14ac:dyDescent="0.25">
      <c r="A836" s="226"/>
      <c r="B836" s="226"/>
      <c r="C836" s="226"/>
      <c r="D836" s="226"/>
      <c r="E836" s="241"/>
      <c r="F836" s="226"/>
    </row>
    <row r="837" spans="1:6" x14ac:dyDescent="0.25">
      <c r="A837" s="226"/>
      <c r="B837" s="226"/>
      <c r="C837" s="226"/>
      <c r="D837" s="226"/>
      <c r="E837" s="241"/>
      <c r="F837" s="226"/>
    </row>
    <row r="838" spans="1:6" x14ac:dyDescent="0.25">
      <c r="A838" s="226"/>
      <c r="B838" s="226"/>
      <c r="C838" s="226"/>
      <c r="D838" s="226"/>
      <c r="E838" s="241"/>
      <c r="F838" s="226"/>
    </row>
    <row r="839" spans="1:6" x14ac:dyDescent="0.25">
      <c r="A839" s="226"/>
      <c r="B839" s="226"/>
      <c r="C839" s="226"/>
      <c r="D839" s="226"/>
      <c r="E839" s="241"/>
      <c r="F839" s="226"/>
    </row>
    <row r="840" spans="1:6" x14ac:dyDescent="0.25">
      <c r="A840" s="226"/>
      <c r="B840" s="226"/>
      <c r="C840" s="226"/>
      <c r="D840" s="226"/>
      <c r="E840" s="241"/>
      <c r="F840" s="226"/>
    </row>
    <row r="841" spans="1:6" x14ac:dyDescent="0.25">
      <c r="A841" s="226"/>
      <c r="B841" s="226"/>
      <c r="C841" s="226"/>
      <c r="D841" s="226"/>
      <c r="E841" s="241"/>
      <c r="F841" s="226"/>
    </row>
    <row r="842" spans="1:6" x14ac:dyDescent="0.25">
      <c r="A842" s="226"/>
      <c r="B842" s="226"/>
      <c r="C842" s="226"/>
      <c r="D842" s="226"/>
      <c r="E842" s="241"/>
      <c r="F842" s="226"/>
    </row>
    <row r="843" spans="1:6" x14ac:dyDescent="0.25">
      <c r="A843" s="226"/>
      <c r="B843" s="226"/>
      <c r="C843" s="226"/>
      <c r="D843" s="226"/>
      <c r="E843" s="241"/>
      <c r="F843" s="226"/>
    </row>
    <row r="844" spans="1:6" x14ac:dyDescent="0.25">
      <c r="A844" s="226"/>
      <c r="B844" s="226"/>
      <c r="C844" s="226"/>
      <c r="D844" s="226"/>
      <c r="E844" s="241"/>
      <c r="F844" s="226"/>
    </row>
    <row r="845" spans="1:6" x14ac:dyDescent="0.25">
      <c r="A845" s="226"/>
      <c r="B845" s="226"/>
      <c r="C845" s="226"/>
      <c r="D845" s="226"/>
      <c r="E845" s="241"/>
      <c r="F845" s="226"/>
    </row>
    <row r="846" spans="1:6" x14ac:dyDescent="0.25">
      <c r="A846" s="226"/>
      <c r="B846" s="226"/>
      <c r="C846" s="226"/>
      <c r="D846" s="226"/>
      <c r="E846" s="241"/>
      <c r="F846" s="226"/>
    </row>
    <row r="847" spans="1:6" x14ac:dyDescent="0.25">
      <c r="A847" s="226"/>
      <c r="B847" s="226"/>
      <c r="C847" s="226"/>
      <c r="D847" s="226"/>
      <c r="E847" s="241"/>
      <c r="F847" s="226"/>
    </row>
    <row r="848" spans="1:6" x14ac:dyDescent="0.25">
      <c r="A848" s="226"/>
      <c r="B848" s="226"/>
      <c r="C848" s="226"/>
      <c r="D848" s="226"/>
      <c r="E848" s="241"/>
      <c r="F848" s="226"/>
    </row>
    <row r="849" spans="1:6" x14ac:dyDescent="0.25">
      <c r="A849" s="226"/>
      <c r="B849" s="226"/>
      <c r="C849" s="226"/>
      <c r="D849" s="226"/>
      <c r="E849" s="241"/>
      <c r="F849" s="226"/>
    </row>
    <row r="850" spans="1:6" x14ac:dyDescent="0.25">
      <c r="A850" s="226"/>
      <c r="B850" s="226"/>
      <c r="C850" s="226"/>
      <c r="D850" s="226"/>
      <c r="E850" s="241"/>
      <c r="F850" s="226"/>
    </row>
    <row r="851" spans="1:6" x14ac:dyDescent="0.25">
      <c r="A851" s="226"/>
      <c r="B851" s="226"/>
      <c r="C851" s="226"/>
      <c r="D851" s="226"/>
      <c r="E851" s="241"/>
      <c r="F851" s="226"/>
    </row>
    <row r="852" spans="1:6" x14ac:dyDescent="0.25">
      <c r="A852" s="226"/>
      <c r="B852" s="226"/>
      <c r="C852" s="226"/>
      <c r="D852" s="226"/>
      <c r="E852" s="241"/>
      <c r="F852" s="226"/>
    </row>
    <row r="853" spans="1:6" x14ac:dyDescent="0.25">
      <c r="A853" s="226"/>
      <c r="B853" s="226"/>
      <c r="C853" s="226"/>
      <c r="D853" s="226"/>
      <c r="E853" s="241"/>
      <c r="F853" s="226"/>
    </row>
    <row r="854" spans="1:6" x14ac:dyDescent="0.25">
      <c r="A854" s="226"/>
      <c r="B854" s="226"/>
      <c r="C854" s="226"/>
      <c r="D854" s="226"/>
      <c r="E854" s="241"/>
      <c r="F854" s="226"/>
    </row>
    <row r="855" spans="1:6" x14ac:dyDescent="0.25">
      <c r="A855" s="226"/>
      <c r="B855" s="226"/>
      <c r="C855" s="226"/>
      <c r="D855" s="226"/>
      <c r="E855" s="241"/>
      <c r="F855" s="226"/>
    </row>
    <row r="856" spans="1:6" x14ac:dyDescent="0.25">
      <c r="A856" s="226"/>
      <c r="B856" s="226"/>
      <c r="C856" s="226"/>
      <c r="D856" s="226"/>
      <c r="E856" s="241"/>
      <c r="F856" s="226"/>
    </row>
    <row r="857" spans="1:6" x14ac:dyDescent="0.25">
      <c r="A857" s="226"/>
      <c r="B857" s="226"/>
      <c r="C857" s="226"/>
      <c r="D857" s="226"/>
      <c r="E857" s="241"/>
      <c r="F857" s="226"/>
    </row>
    <row r="858" spans="1:6" x14ac:dyDescent="0.25">
      <c r="A858" s="226"/>
      <c r="B858" s="226"/>
      <c r="C858" s="226"/>
      <c r="D858" s="226"/>
      <c r="E858" s="241"/>
      <c r="F858" s="226"/>
    </row>
    <row r="859" spans="1:6" x14ac:dyDescent="0.25">
      <c r="A859" s="226"/>
      <c r="B859" s="226"/>
      <c r="C859" s="226"/>
      <c r="D859" s="226"/>
      <c r="E859" s="241"/>
      <c r="F859" s="226"/>
    </row>
    <row r="860" spans="1:6" x14ac:dyDescent="0.25">
      <c r="A860" s="226"/>
      <c r="B860" s="226"/>
      <c r="C860" s="226"/>
      <c r="D860" s="226"/>
      <c r="E860" s="241"/>
      <c r="F860" s="226"/>
    </row>
    <row r="861" spans="1:6" x14ac:dyDescent="0.25">
      <c r="A861" s="226"/>
      <c r="B861" s="226"/>
      <c r="C861" s="226"/>
      <c r="D861" s="226"/>
      <c r="E861" s="241"/>
      <c r="F861" s="226"/>
    </row>
    <row r="862" spans="1:6" x14ac:dyDescent="0.25">
      <c r="A862" s="226"/>
      <c r="B862" s="226"/>
      <c r="C862" s="226"/>
      <c r="D862" s="226"/>
      <c r="E862" s="241"/>
      <c r="F862" s="226"/>
    </row>
    <row r="863" spans="1:6" x14ac:dyDescent="0.25">
      <c r="A863" s="226"/>
      <c r="B863" s="226"/>
      <c r="C863" s="226"/>
      <c r="D863" s="226"/>
      <c r="E863" s="241"/>
      <c r="F863" s="226"/>
    </row>
    <row r="864" spans="1:6" x14ac:dyDescent="0.25">
      <c r="A864" s="226"/>
      <c r="B864" s="226"/>
      <c r="C864" s="226"/>
      <c r="D864" s="226"/>
      <c r="E864" s="241"/>
      <c r="F864" s="226"/>
    </row>
    <row r="865" spans="1:6" x14ac:dyDescent="0.25">
      <c r="A865" s="226"/>
      <c r="B865" s="226"/>
      <c r="C865" s="226"/>
      <c r="D865" s="226"/>
      <c r="E865" s="241"/>
      <c r="F865" s="226"/>
    </row>
    <row r="866" spans="1:6" x14ac:dyDescent="0.25">
      <c r="A866" s="226"/>
      <c r="B866" s="226"/>
      <c r="C866" s="226"/>
      <c r="D866" s="226"/>
      <c r="E866" s="241"/>
      <c r="F866" s="226"/>
    </row>
    <row r="867" spans="1:6" x14ac:dyDescent="0.25">
      <c r="A867" s="226"/>
      <c r="B867" s="226"/>
      <c r="C867" s="226"/>
      <c r="D867" s="226"/>
      <c r="E867" s="241"/>
      <c r="F867" s="226"/>
    </row>
    <row r="868" spans="1:6" x14ac:dyDescent="0.25">
      <c r="A868" s="226"/>
      <c r="B868" s="226"/>
      <c r="C868" s="226"/>
      <c r="D868" s="226"/>
      <c r="E868" s="241"/>
      <c r="F868" s="226"/>
    </row>
    <row r="869" spans="1:6" x14ac:dyDescent="0.25">
      <c r="A869" s="226"/>
      <c r="B869" s="226"/>
      <c r="C869" s="226"/>
      <c r="D869" s="226"/>
      <c r="E869" s="241"/>
      <c r="F869" s="226"/>
    </row>
    <row r="870" spans="1:6" x14ac:dyDescent="0.25">
      <c r="A870" s="226"/>
      <c r="B870" s="226"/>
      <c r="C870" s="226"/>
      <c r="D870" s="226"/>
      <c r="E870" s="241"/>
      <c r="F870" s="226"/>
    </row>
    <row r="871" spans="1:6" x14ac:dyDescent="0.25">
      <c r="A871" s="226"/>
      <c r="B871" s="226"/>
      <c r="C871" s="226"/>
      <c r="D871" s="226"/>
      <c r="E871" s="241"/>
      <c r="F871" s="226"/>
    </row>
    <row r="872" spans="1:6" x14ac:dyDescent="0.25">
      <c r="A872" s="226"/>
      <c r="B872" s="226"/>
      <c r="C872" s="226"/>
      <c r="D872" s="226"/>
      <c r="E872" s="241"/>
      <c r="F872" s="226"/>
    </row>
    <row r="873" spans="1:6" x14ac:dyDescent="0.25">
      <c r="A873" s="226"/>
      <c r="B873" s="226"/>
      <c r="C873" s="226"/>
      <c r="D873" s="226"/>
      <c r="E873" s="241"/>
      <c r="F873" s="226"/>
    </row>
    <row r="874" spans="1:6" x14ac:dyDescent="0.25">
      <c r="A874" s="226"/>
      <c r="B874" s="226"/>
      <c r="C874" s="226"/>
      <c r="D874" s="226"/>
      <c r="E874" s="241"/>
      <c r="F874" s="226"/>
    </row>
    <row r="875" spans="1:6" x14ac:dyDescent="0.25">
      <c r="A875" s="226"/>
      <c r="B875" s="226"/>
      <c r="C875" s="226"/>
      <c r="D875" s="226"/>
      <c r="E875" s="241"/>
      <c r="F875" s="226"/>
    </row>
    <row r="876" spans="1:6" x14ac:dyDescent="0.25">
      <c r="A876" s="226"/>
      <c r="B876" s="226"/>
      <c r="C876" s="226"/>
      <c r="D876" s="226"/>
      <c r="E876" s="241"/>
      <c r="F876" s="226"/>
    </row>
    <row r="877" spans="1:6" x14ac:dyDescent="0.25">
      <c r="A877" s="226"/>
      <c r="B877" s="226"/>
      <c r="C877" s="226"/>
      <c r="D877" s="226"/>
      <c r="E877" s="241"/>
      <c r="F877" s="226"/>
    </row>
    <row r="878" spans="1:6" x14ac:dyDescent="0.25">
      <c r="A878" s="226"/>
      <c r="B878" s="226"/>
      <c r="C878" s="226"/>
      <c r="D878" s="226"/>
      <c r="E878" s="241"/>
      <c r="F878" s="226"/>
    </row>
    <row r="879" spans="1:6" x14ac:dyDescent="0.25">
      <c r="A879" s="226"/>
      <c r="B879" s="226"/>
      <c r="C879" s="226"/>
      <c r="D879" s="226"/>
      <c r="E879" s="241"/>
      <c r="F879" s="226"/>
    </row>
    <row r="880" spans="1:6" x14ac:dyDescent="0.25">
      <c r="A880" s="226"/>
      <c r="B880" s="226"/>
      <c r="C880" s="226"/>
      <c r="D880" s="226"/>
      <c r="E880" s="241"/>
      <c r="F880" s="226"/>
    </row>
    <row r="881" spans="1:6" x14ac:dyDescent="0.25">
      <c r="A881" s="226"/>
      <c r="B881" s="226"/>
      <c r="C881" s="226"/>
      <c r="D881" s="226"/>
      <c r="E881" s="241"/>
      <c r="F881" s="226"/>
    </row>
    <row r="882" spans="1:6" x14ac:dyDescent="0.25">
      <c r="A882" s="226"/>
      <c r="B882" s="226"/>
      <c r="C882" s="226"/>
      <c r="D882" s="226"/>
      <c r="E882" s="241"/>
      <c r="F882" s="226"/>
    </row>
    <row r="883" spans="1:6" x14ac:dyDescent="0.25">
      <c r="A883" s="226"/>
      <c r="B883" s="226"/>
      <c r="C883" s="226"/>
      <c r="D883" s="226"/>
      <c r="E883" s="241"/>
      <c r="F883" s="226"/>
    </row>
    <row r="884" spans="1:6" x14ac:dyDescent="0.25">
      <c r="A884" s="226"/>
      <c r="B884" s="226"/>
      <c r="C884" s="226"/>
      <c r="D884" s="226"/>
      <c r="E884" s="241"/>
      <c r="F884" s="226"/>
    </row>
    <row r="885" spans="1:6" x14ac:dyDescent="0.25">
      <c r="A885" s="226"/>
      <c r="B885" s="226"/>
      <c r="C885" s="226"/>
      <c r="D885" s="226"/>
      <c r="E885" s="241"/>
      <c r="F885" s="226"/>
    </row>
    <row r="886" spans="1:6" x14ac:dyDescent="0.25">
      <c r="A886" s="226"/>
      <c r="B886" s="226"/>
      <c r="C886" s="226"/>
      <c r="D886" s="226"/>
      <c r="E886" s="241"/>
      <c r="F886" s="226"/>
    </row>
    <row r="887" spans="1:6" x14ac:dyDescent="0.25">
      <c r="A887" s="226"/>
      <c r="B887" s="226"/>
      <c r="C887" s="226"/>
      <c r="D887" s="226"/>
      <c r="E887" s="241"/>
      <c r="F887" s="226"/>
    </row>
    <row r="888" spans="1:6" x14ac:dyDescent="0.25">
      <c r="A888" s="226"/>
      <c r="B888" s="226"/>
      <c r="C888" s="226"/>
      <c r="D888" s="226"/>
      <c r="E888" s="241"/>
      <c r="F888" s="226"/>
    </row>
    <row r="889" spans="1:6" x14ac:dyDescent="0.25">
      <c r="A889" s="226"/>
      <c r="B889" s="226"/>
      <c r="C889" s="226"/>
      <c r="D889" s="226"/>
      <c r="E889" s="241"/>
      <c r="F889" s="226"/>
    </row>
    <row r="890" spans="1:6" x14ac:dyDescent="0.25">
      <c r="A890" s="226"/>
      <c r="B890" s="226"/>
      <c r="C890" s="226"/>
      <c r="D890" s="226"/>
      <c r="E890" s="241"/>
      <c r="F890" s="226"/>
    </row>
    <row r="891" spans="1:6" x14ac:dyDescent="0.25">
      <c r="A891" s="226"/>
      <c r="B891" s="226"/>
      <c r="C891" s="226"/>
      <c r="D891" s="226"/>
      <c r="E891" s="241"/>
      <c r="F891" s="226"/>
    </row>
    <row r="892" spans="1:6" x14ac:dyDescent="0.25">
      <c r="A892" s="226"/>
      <c r="B892" s="226"/>
      <c r="C892" s="226"/>
      <c r="D892" s="226"/>
      <c r="E892" s="241"/>
      <c r="F892" s="226"/>
    </row>
    <row r="893" spans="1:6" x14ac:dyDescent="0.25">
      <c r="A893" s="226"/>
      <c r="B893" s="226"/>
      <c r="C893" s="226"/>
      <c r="D893" s="226"/>
      <c r="E893" s="241"/>
      <c r="F893" s="226"/>
    </row>
    <row r="894" spans="1:6" x14ac:dyDescent="0.25">
      <c r="A894" s="226"/>
      <c r="B894" s="226"/>
      <c r="C894" s="226"/>
      <c r="D894" s="226"/>
      <c r="E894" s="241"/>
      <c r="F894" s="226"/>
    </row>
    <row r="895" spans="1:6" x14ac:dyDescent="0.25">
      <c r="A895" s="226"/>
      <c r="B895" s="226"/>
      <c r="C895" s="226"/>
      <c r="D895" s="226"/>
      <c r="E895" s="241"/>
      <c r="F895" s="226"/>
    </row>
    <row r="896" spans="1:6" x14ac:dyDescent="0.25">
      <c r="A896" s="226"/>
      <c r="B896" s="226"/>
      <c r="C896" s="226"/>
      <c r="D896" s="226"/>
      <c r="E896" s="241"/>
      <c r="F896" s="226"/>
    </row>
    <row r="897" spans="1:6" x14ac:dyDescent="0.25">
      <c r="A897" s="226"/>
      <c r="B897" s="226"/>
      <c r="C897" s="226"/>
      <c r="D897" s="226"/>
      <c r="E897" s="241"/>
      <c r="F897" s="226"/>
    </row>
    <row r="898" spans="1:6" x14ac:dyDescent="0.25">
      <c r="A898" s="226"/>
      <c r="B898" s="226"/>
      <c r="C898" s="226"/>
      <c r="D898" s="226"/>
      <c r="E898" s="241"/>
      <c r="F898" s="226"/>
    </row>
    <row r="899" spans="1:6" x14ac:dyDescent="0.25">
      <c r="A899" s="226"/>
      <c r="B899" s="226"/>
      <c r="C899" s="226"/>
      <c r="D899" s="226"/>
      <c r="E899" s="241"/>
      <c r="F899" s="226"/>
    </row>
    <row r="900" spans="1:6" x14ac:dyDescent="0.25">
      <c r="A900" s="226"/>
      <c r="B900" s="226"/>
      <c r="C900" s="226"/>
      <c r="D900" s="226"/>
      <c r="E900" s="241"/>
      <c r="F900" s="226"/>
    </row>
    <row r="901" spans="1:6" x14ac:dyDescent="0.25">
      <c r="A901" s="226"/>
      <c r="B901" s="226"/>
      <c r="C901" s="226"/>
      <c r="D901" s="226"/>
      <c r="E901" s="241"/>
      <c r="F901" s="226"/>
    </row>
    <row r="902" spans="1:6" x14ac:dyDescent="0.25">
      <c r="A902" s="226"/>
      <c r="B902" s="226"/>
      <c r="C902" s="226"/>
      <c r="D902" s="226"/>
      <c r="E902" s="241"/>
      <c r="F902" s="226"/>
    </row>
    <row r="903" spans="1:6" x14ac:dyDescent="0.25">
      <c r="A903" s="226"/>
      <c r="B903" s="226"/>
      <c r="C903" s="226"/>
      <c r="D903" s="226"/>
      <c r="E903" s="241"/>
      <c r="F903" s="226"/>
    </row>
    <row r="904" spans="1:6" x14ac:dyDescent="0.25">
      <c r="A904" s="226"/>
      <c r="B904" s="226"/>
      <c r="C904" s="226"/>
      <c r="D904" s="226"/>
      <c r="E904" s="241"/>
      <c r="F904" s="226"/>
    </row>
    <row r="905" spans="1:6" x14ac:dyDescent="0.25">
      <c r="A905" s="226"/>
      <c r="B905" s="226"/>
      <c r="C905" s="226"/>
      <c r="D905" s="226"/>
      <c r="E905" s="241"/>
      <c r="F905" s="226"/>
    </row>
    <row r="906" spans="1:6" x14ac:dyDescent="0.25">
      <c r="A906" s="226"/>
      <c r="B906" s="226"/>
      <c r="C906" s="226"/>
      <c r="D906" s="226"/>
      <c r="E906" s="241"/>
      <c r="F906" s="226"/>
    </row>
    <row r="907" spans="1:6" x14ac:dyDescent="0.25">
      <c r="A907" s="226"/>
      <c r="B907" s="226"/>
      <c r="C907" s="226"/>
      <c r="D907" s="226"/>
      <c r="E907" s="241"/>
      <c r="F907" s="226"/>
    </row>
    <row r="908" spans="1:6" x14ac:dyDescent="0.25">
      <c r="A908" s="226"/>
      <c r="B908" s="226"/>
      <c r="C908" s="226"/>
      <c r="D908" s="226"/>
      <c r="E908" s="241"/>
      <c r="F908" s="226"/>
    </row>
    <row r="909" spans="1:6" x14ac:dyDescent="0.25">
      <c r="A909" s="226"/>
      <c r="B909" s="226"/>
      <c r="C909" s="226"/>
      <c r="D909" s="226"/>
      <c r="E909" s="241"/>
      <c r="F909" s="226"/>
    </row>
    <row r="910" spans="1:6" x14ac:dyDescent="0.25">
      <c r="A910" s="226"/>
      <c r="B910" s="226"/>
      <c r="C910" s="226"/>
      <c r="D910" s="226"/>
      <c r="E910" s="241"/>
      <c r="F910" s="226"/>
    </row>
    <row r="911" spans="1:6" x14ac:dyDescent="0.25">
      <c r="A911" s="226"/>
      <c r="B911" s="226"/>
      <c r="C911" s="226"/>
      <c r="D911" s="226"/>
      <c r="E911" s="241"/>
      <c r="F911" s="226"/>
    </row>
    <row r="912" spans="1:6" x14ac:dyDescent="0.25">
      <c r="A912" s="226"/>
      <c r="B912" s="226"/>
      <c r="C912" s="226"/>
      <c r="D912" s="226"/>
      <c r="E912" s="241"/>
      <c r="F912" s="226"/>
    </row>
    <row r="913" spans="1:6" x14ac:dyDescent="0.25">
      <c r="A913" s="226"/>
      <c r="B913" s="226"/>
      <c r="C913" s="226"/>
      <c r="D913" s="226"/>
      <c r="E913" s="241"/>
      <c r="F913" s="226"/>
    </row>
    <row r="914" spans="1:6" x14ac:dyDescent="0.25">
      <c r="A914" s="226"/>
      <c r="B914" s="226"/>
      <c r="C914" s="226"/>
      <c r="D914" s="226"/>
      <c r="E914" s="241"/>
      <c r="F914" s="226"/>
    </row>
    <row r="915" spans="1:6" x14ac:dyDescent="0.25">
      <c r="A915" s="226"/>
      <c r="B915" s="226"/>
      <c r="C915" s="226"/>
      <c r="D915" s="226"/>
      <c r="E915" s="241"/>
      <c r="F915" s="226"/>
    </row>
    <row r="916" spans="1:6" x14ac:dyDescent="0.25">
      <c r="A916" s="226"/>
      <c r="B916" s="226"/>
      <c r="C916" s="226"/>
      <c r="D916" s="226"/>
      <c r="E916" s="241"/>
      <c r="F916" s="226"/>
    </row>
    <row r="917" spans="1:6" x14ac:dyDescent="0.25">
      <c r="A917" s="226"/>
      <c r="B917" s="226"/>
      <c r="C917" s="226"/>
      <c r="D917" s="226"/>
      <c r="E917" s="241"/>
      <c r="F917" s="226"/>
    </row>
    <row r="918" spans="1:6" x14ac:dyDescent="0.25">
      <c r="A918" s="226"/>
      <c r="B918" s="226"/>
      <c r="C918" s="226"/>
      <c r="D918" s="226"/>
      <c r="E918" s="241"/>
      <c r="F918" s="226"/>
    </row>
    <row r="919" spans="1:6" x14ac:dyDescent="0.25">
      <c r="A919" s="226"/>
      <c r="B919" s="226"/>
      <c r="C919" s="226"/>
      <c r="D919" s="226"/>
      <c r="E919" s="241"/>
      <c r="F919" s="226"/>
    </row>
    <row r="920" spans="1:6" x14ac:dyDescent="0.25">
      <c r="A920" s="226"/>
      <c r="B920" s="226"/>
      <c r="C920" s="226"/>
      <c r="D920" s="226"/>
      <c r="E920" s="241"/>
      <c r="F920" s="226"/>
    </row>
    <row r="921" spans="1:6" x14ac:dyDescent="0.25">
      <c r="A921" s="226"/>
      <c r="B921" s="226"/>
      <c r="C921" s="226"/>
      <c r="D921" s="226"/>
      <c r="E921" s="241"/>
      <c r="F921" s="226"/>
    </row>
    <row r="922" spans="1:6" x14ac:dyDescent="0.25">
      <c r="A922" s="226"/>
      <c r="B922" s="226"/>
      <c r="C922" s="226"/>
      <c r="D922" s="226"/>
      <c r="E922" s="241"/>
      <c r="F922" s="226"/>
    </row>
    <row r="923" spans="1:6" x14ac:dyDescent="0.25">
      <c r="A923" s="226"/>
      <c r="B923" s="226"/>
      <c r="C923" s="226"/>
      <c r="D923" s="226"/>
      <c r="E923" s="241"/>
      <c r="F923" s="226"/>
    </row>
    <row r="924" spans="1:6" x14ac:dyDescent="0.25">
      <c r="A924" s="226"/>
      <c r="B924" s="226"/>
      <c r="C924" s="226"/>
      <c r="D924" s="226"/>
      <c r="E924" s="241"/>
      <c r="F924" s="226"/>
    </row>
    <row r="925" spans="1:6" x14ac:dyDescent="0.25">
      <c r="A925" s="226"/>
      <c r="B925" s="226"/>
      <c r="C925" s="226"/>
      <c r="D925" s="226"/>
      <c r="E925" s="241"/>
      <c r="F925" s="226"/>
    </row>
    <row r="926" spans="1:6" x14ac:dyDescent="0.25">
      <c r="A926" s="226"/>
      <c r="B926" s="226"/>
      <c r="C926" s="226"/>
      <c r="D926" s="226"/>
      <c r="E926" s="241"/>
      <c r="F926" s="226"/>
    </row>
    <row r="927" spans="1:6" x14ac:dyDescent="0.25">
      <c r="A927" s="226"/>
      <c r="B927" s="226"/>
      <c r="C927" s="226"/>
      <c r="D927" s="226"/>
      <c r="E927" s="241"/>
      <c r="F927" s="226"/>
    </row>
    <row r="928" spans="1:6" x14ac:dyDescent="0.25">
      <c r="A928" s="226"/>
      <c r="B928" s="226"/>
      <c r="C928" s="226"/>
      <c r="D928" s="226"/>
      <c r="E928" s="241"/>
      <c r="F928" s="226"/>
    </row>
    <row r="929" spans="1:6" x14ac:dyDescent="0.25">
      <c r="A929" s="226"/>
      <c r="B929" s="226"/>
      <c r="C929" s="226"/>
      <c r="D929" s="226"/>
      <c r="E929" s="241"/>
      <c r="F929" s="226"/>
    </row>
    <row r="930" spans="1:6" x14ac:dyDescent="0.25">
      <c r="A930" s="226"/>
      <c r="B930" s="226"/>
      <c r="C930" s="226"/>
      <c r="D930" s="226"/>
      <c r="E930" s="241"/>
      <c r="F930" s="226"/>
    </row>
    <row r="931" spans="1:6" x14ac:dyDescent="0.25">
      <c r="A931" s="226"/>
      <c r="B931" s="226"/>
      <c r="C931" s="226"/>
      <c r="D931" s="226"/>
      <c r="E931" s="241"/>
      <c r="F931" s="226"/>
    </row>
    <row r="932" spans="1:6" x14ac:dyDescent="0.25">
      <c r="A932" s="226"/>
      <c r="B932" s="226"/>
      <c r="C932" s="226"/>
      <c r="D932" s="226"/>
      <c r="E932" s="241"/>
      <c r="F932" s="226"/>
    </row>
    <row r="933" spans="1:6" x14ac:dyDescent="0.25">
      <c r="A933" s="226"/>
      <c r="B933" s="226"/>
      <c r="C933" s="226"/>
      <c r="D933" s="226"/>
      <c r="E933" s="241"/>
      <c r="F933" s="226"/>
    </row>
    <row r="934" spans="1:6" x14ac:dyDescent="0.25">
      <c r="A934" s="226"/>
      <c r="B934" s="226"/>
      <c r="C934" s="226"/>
      <c r="D934" s="226"/>
      <c r="E934" s="241"/>
      <c r="F934" s="226"/>
    </row>
    <row r="935" spans="1:6" x14ac:dyDescent="0.25">
      <c r="A935" s="226"/>
      <c r="B935" s="226"/>
      <c r="C935" s="226"/>
      <c r="D935" s="226"/>
      <c r="E935" s="241"/>
      <c r="F935" s="226"/>
    </row>
    <row r="936" spans="1:6" x14ac:dyDescent="0.25">
      <c r="A936" s="226"/>
      <c r="B936" s="226"/>
      <c r="C936" s="226"/>
      <c r="D936" s="226"/>
      <c r="E936" s="241"/>
      <c r="F936" s="226"/>
    </row>
    <row r="937" spans="1:6" x14ac:dyDescent="0.25">
      <c r="A937" s="226"/>
      <c r="B937" s="226"/>
      <c r="C937" s="226"/>
      <c r="D937" s="226"/>
      <c r="E937" s="241"/>
      <c r="F937" s="226"/>
    </row>
    <row r="938" spans="1:6" x14ac:dyDescent="0.25">
      <c r="A938" s="226"/>
      <c r="B938" s="226"/>
      <c r="C938" s="226"/>
      <c r="D938" s="226"/>
      <c r="E938" s="241"/>
      <c r="F938" s="226"/>
    </row>
    <row r="939" spans="1:6" x14ac:dyDescent="0.25">
      <c r="A939" s="226"/>
      <c r="B939" s="226"/>
      <c r="C939" s="226"/>
      <c r="D939" s="226"/>
      <c r="E939" s="241"/>
      <c r="F939" s="226"/>
    </row>
    <row r="940" spans="1:6" x14ac:dyDescent="0.25">
      <c r="A940" s="226"/>
      <c r="B940" s="226"/>
      <c r="C940" s="226"/>
      <c r="D940" s="226"/>
      <c r="E940" s="241"/>
      <c r="F940" s="226"/>
    </row>
    <row r="941" spans="1:6" x14ac:dyDescent="0.25">
      <c r="A941" s="226"/>
      <c r="B941" s="226"/>
      <c r="C941" s="226"/>
      <c r="D941" s="226"/>
      <c r="E941" s="241"/>
      <c r="F941" s="226"/>
    </row>
    <row r="942" spans="1:6" x14ac:dyDescent="0.25">
      <c r="A942" s="226"/>
      <c r="B942" s="226"/>
      <c r="C942" s="226"/>
      <c r="D942" s="226"/>
      <c r="E942" s="241"/>
      <c r="F942" s="226"/>
    </row>
    <row r="943" spans="1:6" x14ac:dyDescent="0.25">
      <c r="A943" s="226"/>
      <c r="B943" s="226"/>
      <c r="C943" s="226"/>
      <c r="D943" s="226"/>
      <c r="E943" s="241"/>
      <c r="F943" s="226"/>
    </row>
    <row r="944" spans="1:6" x14ac:dyDescent="0.25">
      <c r="A944" s="226"/>
      <c r="B944" s="226"/>
      <c r="C944" s="226"/>
      <c r="D944" s="226"/>
      <c r="E944" s="241"/>
      <c r="F944" s="226"/>
    </row>
    <row r="945" spans="1:6" x14ac:dyDescent="0.25">
      <c r="A945" s="226"/>
      <c r="B945" s="226"/>
      <c r="C945" s="226"/>
      <c r="D945" s="226"/>
      <c r="E945" s="241"/>
      <c r="F945" s="226"/>
    </row>
    <row r="946" spans="1:6" x14ac:dyDescent="0.25">
      <c r="A946" s="226"/>
      <c r="B946" s="226"/>
      <c r="C946" s="226"/>
      <c r="D946" s="226"/>
      <c r="E946" s="241"/>
      <c r="F946" s="226"/>
    </row>
    <row r="947" spans="1:6" x14ac:dyDescent="0.25">
      <c r="A947" s="226"/>
      <c r="B947" s="226"/>
      <c r="C947" s="226"/>
      <c r="D947" s="226"/>
      <c r="E947" s="241"/>
      <c r="F947" s="226"/>
    </row>
    <row r="948" spans="1:6" x14ac:dyDescent="0.25">
      <c r="A948" s="226"/>
      <c r="B948" s="226"/>
      <c r="C948" s="226"/>
      <c r="D948" s="226"/>
      <c r="E948" s="241"/>
      <c r="F948" s="226"/>
    </row>
    <row r="949" spans="1:6" x14ac:dyDescent="0.25">
      <c r="A949" s="226"/>
      <c r="B949" s="226"/>
      <c r="C949" s="226"/>
      <c r="D949" s="226"/>
      <c r="E949" s="241"/>
      <c r="F949" s="226"/>
    </row>
    <row r="950" spans="1:6" x14ac:dyDescent="0.25">
      <c r="A950" s="226"/>
      <c r="B950" s="226"/>
      <c r="C950" s="226"/>
      <c r="D950" s="226"/>
      <c r="E950" s="241"/>
      <c r="F950" s="226"/>
    </row>
    <row r="951" spans="1:6" x14ac:dyDescent="0.25">
      <c r="A951" s="226"/>
      <c r="B951" s="226"/>
      <c r="C951" s="226"/>
      <c r="D951" s="226"/>
      <c r="E951" s="241"/>
      <c r="F951" s="226"/>
    </row>
    <row r="952" spans="1:6" x14ac:dyDescent="0.25">
      <c r="A952" s="226"/>
      <c r="B952" s="226"/>
      <c r="C952" s="226"/>
      <c r="D952" s="226"/>
      <c r="E952" s="241"/>
      <c r="F952" s="226"/>
    </row>
    <row r="953" spans="1:6" x14ac:dyDescent="0.25">
      <c r="A953" s="226"/>
      <c r="B953" s="226"/>
      <c r="C953" s="226"/>
      <c r="D953" s="226"/>
      <c r="E953" s="241"/>
      <c r="F953" s="226"/>
    </row>
    <row r="954" spans="1:6" x14ac:dyDescent="0.25">
      <c r="A954" s="226"/>
      <c r="B954" s="226"/>
      <c r="C954" s="226"/>
      <c r="D954" s="226"/>
      <c r="E954" s="241"/>
      <c r="F954" s="226"/>
    </row>
    <row r="955" spans="1:6" x14ac:dyDescent="0.25">
      <c r="A955" s="226"/>
      <c r="B955" s="226"/>
      <c r="C955" s="226"/>
      <c r="D955" s="226"/>
      <c r="E955" s="241"/>
      <c r="F955" s="226"/>
    </row>
    <row r="956" spans="1:6" x14ac:dyDescent="0.25">
      <c r="A956" s="226"/>
      <c r="B956" s="226"/>
      <c r="C956" s="226"/>
      <c r="D956" s="226"/>
      <c r="E956" s="241"/>
      <c r="F956" s="226"/>
    </row>
    <row r="957" spans="1:6" x14ac:dyDescent="0.25">
      <c r="A957" s="226"/>
      <c r="B957" s="226"/>
      <c r="C957" s="226"/>
      <c r="D957" s="226"/>
      <c r="E957" s="241"/>
      <c r="F957" s="226"/>
    </row>
    <row r="958" spans="1:6" x14ac:dyDescent="0.25">
      <c r="A958" s="226"/>
      <c r="B958" s="226"/>
      <c r="C958" s="226"/>
      <c r="D958" s="226"/>
      <c r="E958" s="241"/>
      <c r="F958" s="226"/>
    </row>
    <row r="959" spans="1:6" x14ac:dyDescent="0.25">
      <c r="A959" s="226"/>
      <c r="B959" s="226"/>
      <c r="C959" s="226"/>
      <c r="D959" s="226"/>
      <c r="E959" s="241"/>
      <c r="F959" s="226"/>
    </row>
    <row r="960" spans="1:6" x14ac:dyDescent="0.25">
      <c r="A960" s="226"/>
      <c r="B960" s="226"/>
      <c r="C960" s="226"/>
      <c r="D960" s="226"/>
      <c r="E960" s="241"/>
      <c r="F960" s="226"/>
    </row>
    <row r="961" spans="1:6" x14ac:dyDescent="0.25">
      <c r="A961" s="226"/>
      <c r="B961" s="226"/>
      <c r="C961" s="226"/>
      <c r="D961" s="226"/>
      <c r="E961" s="241"/>
      <c r="F961" s="226"/>
    </row>
    <row r="962" spans="1:6" x14ac:dyDescent="0.25">
      <c r="A962" s="226"/>
      <c r="B962" s="226"/>
      <c r="C962" s="226"/>
      <c r="D962" s="226"/>
      <c r="E962" s="241"/>
      <c r="F962" s="226"/>
    </row>
    <row r="963" spans="1:6" x14ac:dyDescent="0.25">
      <c r="A963" s="226"/>
      <c r="B963" s="226"/>
      <c r="C963" s="226"/>
      <c r="D963" s="226"/>
      <c r="E963" s="241"/>
      <c r="F963" s="226"/>
    </row>
    <row r="964" spans="1:6" x14ac:dyDescent="0.25">
      <c r="A964" s="226"/>
      <c r="B964" s="226"/>
      <c r="C964" s="226"/>
      <c r="D964" s="226"/>
      <c r="E964" s="241"/>
      <c r="F964" s="226"/>
    </row>
    <row r="965" spans="1:6" x14ac:dyDescent="0.25">
      <c r="A965" s="226"/>
      <c r="B965" s="226"/>
      <c r="C965" s="226"/>
      <c r="D965" s="226"/>
      <c r="E965" s="241"/>
      <c r="F965" s="226"/>
    </row>
    <row r="966" spans="1:6" x14ac:dyDescent="0.25">
      <c r="A966" s="226"/>
      <c r="B966" s="226"/>
      <c r="C966" s="226"/>
      <c r="D966" s="226"/>
      <c r="E966" s="241"/>
      <c r="F966" s="226"/>
    </row>
    <row r="967" spans="1:6" x14ac:dyDescent="0.25">
      <c r="A967" s="226"/>
      <c r="B967" s="226"/>
      <c r="C967" s="226"/>
      <c r="D967" s="226"/>
      <c r="E967" s="241"/>
      <c r="F967" s="226"/>
    </row>
    <row r="968" spans="1:6" x14ac:dyDescent="0.25">
      <c r="A968" s="226"/>
      <c r="B968" s="226"/>
      <c r="C968" s="226"/>
      <c r="D968" s="226"/>
      <c r="E968" s="241"/>
      <c r="F968" s="226"/>
    </row>
    <row r="969" spans="1:6" x14ac:dyDescent="0.25">
      <c r="A969" s="226"/>
      <c r="B969" s="226"/>
      <c r="C969" s="226"/>
      <c r="D969" s="226"/>
      <c r="E969" s="241"/>
      <c r="F969" s="226"/>
    </row>
    <row r="970" spans="1:6" x14ac:dyDescent="0.25">
      <c r="A970" s="226"/>
      <c r="B970" s="226"/>
      <c r="C970" s="226"/>
      <c r="D970" s="226"/>
      <c r="E970" s="241"/>
      <c r="F970" s="226"/>
    </row>
    <row r="971" spans="1:6" x14ac:dyDescent="0.25">
      <c r="A971" s="226"/>
      <c r="B971" s="226"/>
      <c r="C971" s="226"/>
      <c r="D971" s="226"/>
      <c r="E971" s="241"/>
      <c r="F971" s="226"/>
    </row>
    <row r="972" spans="1:6" x14ac:dyDescent="0.25">
      <c r="A972" s="226"/>
      <c r="B972" s="226"/>
      <c r="C972" s="226"/>
      <c r="D972" s="226"/>
      <c r="E972" s="241"/>
      <c r="F972" s="226"/>
    </row>
    <row r="973" spans="1:6" x14ac:dyDescent="0.25">
      <c r="A973" s="226"/>
      <c r="B973" s="226"/>
      <c r="C973" s="226"/>
      <c r="D973" s="226"/>
      <c r="E973" s="241"/>
      <c r="F973" s="226"/>
    </row>
    <row r="974" spans="1:6" x14ac:dyDescent="0.25">
      <c r="A974" s="226"/>
      <c r="B974" s="226"/>
      <c r="C974" s="226"/>
      <c r="D974" s="226"/>
      <c r="E974" s="241"/>
      <c r="F974" s="226"/>
    </row>
    <row r="975" spans="1:6" x14ac:dyDescent="0.25">
      <c r="A975" s="226"/>
      <c r="B975" s="226"/>
      <c r="C975" s="226"/>
      <c r="D975" s="226"/>
      <c r="E975" s="241"/>
      <c r="F975" s="226"/>
    </row>
    <row r="976" spans="1:6" x14ac:dyDescent="0.25">
      <c r="A976" s="226"/>
      <c r="B976" s="226"/>
      <c r="C976" s="226"/>
      <c r="D976" s="226"/>
      <c r="E976" s="241"/>
      <c r="F976" s="226"/>
    </row>
    <row r="977" spans="1:6" x14ac:dyDescent="0.25">
      <c r="A977" s="226"/>
      <c r="B977" s="226"/>
      <c r="C977" s="226"/>
      <c r="D977" s="226"/>
      <c r="E977" s="241"/>
      <c r="F977" s="226"/>
    </row>
    <row r="978" spans="1:6" x14ac:dyDescent="0.25">
      <c r="A978" s="226"/>
      <c r="B978" s="226"/>
      <c r="C978" s="226"/>
      <c r="D978" s="226"/>
      <c r="E978" s="241"/>
      <c r="F978" s="226"/>
    </row>
    <row r="979" spans="1:6" x14ac:dyDescent="0.25">
      <c r="A979" s="226"/>
      <c r="B979" s="226"/>
      <c r="C979" s="226"/>
      <c r="D979" s="226"/>
      <c r="E979" s="241"/>
      <c r="F979" s="226"/>
    </row>
    <row r="980" spans="1:6" x14ac:dyDescent="0.25">
      <c r="A980" s="226"/>
      <c r="B980" s="226"/>
      <c r="C980" s="226"/>
      <c r="D980" s="226"/>
      <c r="E980" s="241"/>
      <c r="F980" s="226"/>
    </row>
    <row r="981" spans="1:6" x14ac:dyDescent="0.25">
      <c r="A981" s="226"/>
      <c r="B981" s="226"/>
      <c r="C981" s="226"/>
      <c r="D981" s="226"/>
      <c r="E981" s="241"/>
      <c r="F981" s="226"/>
    </row>
    <row r="982" spans="1:6" x14ac:dyDescent="0.25">
      <c r="A982" s="226"/>
      <c r="B982" s="226"/>
      <c r="C982" s="226"/>
      <c r="D982" s="226"/>
      <c r="E982" s="241"/>
      <c r="F982" s="226"/>
    </row>
    <row r="983" spans="1:6" x14ac:dyDescent="0.25">
      <c r="A983" s="226"/>
      <c r="B983" s="226"/>
      <c r="C983" s="226"/>
      <c r="D983" s="226"/>
      <c r="E983" s="241"/>
      <c r="F983" s="226"/>
    </row>
    <row r="984" spans="1:6" x14ac:dyDescent="0.25">
      <c r="A984" s="226"/>
      <c r="B984" s="226"/>
      <c r="C984" s="226"/>
      <c r="D984" s="226"/>
      <c r="E984" s="241"/>
      <c r="F984" s="226"/>
    </row>
    <row r="985" spans="1:6" x14ac:dyDescent="0.25">
      <c r="A985" s="226"/>
      <c r="B985" s="226"/>
      <c r="C985" s="226"/>
      <c r="D985" s="226"/>
      <c r="E985" s="241"/>
      <c r="F985" s="226"/>
    </row>
    <row r="986" spans="1:6" x14ac:dyDescent="0.25">
      <c r="A986" s="226"/>
      <c r="B986" s="226"/>
      <c r="C986" s="226"/>
      <c r="D986" s="226"/>
      <c r="E986" s="241"/>
      <c r="F986" s="226"/>
    </row>
    <row r="987" spans="1:6" x14ac:dyDescent="0.25">
      <c r="A987" s="226"/>
      <c r="B987" s="226"/>
      <c r="C987" s="226"/>
      <c r="D987" s="226"/>
      <c r="E987" s="241"/>
      <c r="F987" s="226"/>
    </row>
    <row r="988" spans="1:6" x14ac:dyDescent="0.25">
      <c r="A988" s="226"/>
      <c r="B988" s="226"/>
      <c r="C988" s="226"/>
      <c r="D988" s="226"/>
      <c r="E988" s="241"/>
      <c r="F988" s="226"/>
    </row>
    <row r="989" spans="1:6" x14ac:dyDescent="0.25">
      <c r="A989" s="226"/>
      <c r="B989" s="226"/>
      <c r="C989" s="226"/>
      <c r="D989" s="226"/>
      <c r="E989" s="241"/>
      <c r="F989" s="226"/>
    </row>
    <row r="990" spans="1:6" x14ac:dyDescent="0.25">
      <c r="A990" s="226"/>
      <c r="B990" s="226"/>
      <c r="C990" s="226"/>
      <c r="D990" s="226"/>
      <c r="E990" s="241"/>
      <c r="F990" s="226"/>
    </row>
    <row r="991" spans="1:6" x14ac:dyDescent="0.25">
      <c r="A991" s="226"/>
      <c r="B991" s="226"/>
      <c r="C991" s="226"/>
      <c r="D991" s="226"/>
      <c r="E991" s="241"/>
      <c r="F991" s="226"/>
    </row>
    <row r="992" spans="1:6" x14ac:dyDescent="0.25">
      <c r="A992" s="226"/>
      <c r="B992" s="226"/>
      <c r="C992" s="226"/>
      <c r="D992" s="226"/>
      <c r="E992" s="241"/>
      <c r="F992" s="226"/>
    </row>
  </sheetData>
  <mergeCells count="7">
    <mergeCell ref="B8:C8"/>
    <mergeCell ref="A1:F1"/>
    <mergeCell ref="B3:C3"/>
    <mergeCell ref="B4:C4"/>
    <mergeCell ref="B5:C5"/>
    <mergeCell ref="B6:C6"/>
    <mergeCell ref="B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E2B4-A7C9-445D-8B5A-6991E4EA6DA0}">
  <dimension ref="A1:Q999"/>
  <sheetViews>
    <sheetView topLeftCell="A485" workbookViewId="0">
      <selection activeCell="C505" sqref="C505:C512"/>
    </sheetView>
  </sheetViews>
  <sheetFormatPr defaultColWidth="8.85546875" defaultRowHeight="15" x14ac:dyDescent="0.25"/>
  <cols>
    <col min="1" max="1" width="8.85546875" style="221"/>
    <col min="2" max="2" width="51.28515625" style="221" customWidth="1"/>
    <col min="3" max="3" width="13.28515625" style="221" bestFit="1" customWidth="1"/>
    <col min="4" max="5" width="9.5703125" style="221" bestFit="1" customWidth="1"/>
    <col min="6" max="6" width="10.85546875" style="221" bestFit="1" customWidth="1"/>
    <col min="7" max="7" width="9.7109375" style="221" bestFit="1" customWidth="1"/>
    <col min="8" max="8" width="9.7109375" style="221" customWidth="1"/>
    <col min="9" max="16" width="8.85546875" style="221"/>
    <col min="17" max="17" width="13.7109375" style="221" customWidth="1"/>
    <col min="18" max="16384" width="8.85546875" style="221"/>
  </cols>
  <sheetData>
    <row r="1" spans="1:17" x14ac:dyDescent="0.25">
      <c r="A1" s="277" t="s">
        <v>1017</v>
      </c>
      <c r="B1" s="277"/>
      <c r="C1" s="277"/>
      <c r="D1" s="277"/>
      <c r="E1" s="277"/>
      <c r="F1" s="277"/>
      <c r="G1" s="222"/>
      <c r="H1" s="222"/>
      <c r="I1" s="247">
        <v>10000</v>
      </c>
      <c r="J1" s="245" t="s">
        <v>1755</v>
      </c>
      <c r="K1" s="242"/>
      <c r="L1" s="247">
        <v>20000</v>
      </c>
      <c r="M1" s="245" t="s">
        <v>306</v>
      </c>
      <c r="N1" s="242"/>
      <c r="O1" s="247">
        <v>29000</v>
      </c>
      <c r="P1" s="245" t="s">
        <v>305</v>
      </c>
      <c r="Q1" s="242"/>
    </row>
    <row r="2" spans="1:17" x14ac:dyDescent="0.25">
      <c r="G2" s="222"/>
      <c r="H2" s="222"/>
      <c r="I2" s="248">
        <v>12000</v>
      </c>
      <c r="J2" s="221" t="s">
        <v>1756</v>
      </c>
      <c r="K2" s="224"/>
      <c r="L2" s="223">
        <v>23000</v>
      </c>
      <c r="M2" s="221" t="s">
        <v>310</v>
      </c>
      <c r="N2" s="224"/>
      <c r="O2" s="223">
        <v>30000</v>
      </c>
      <c r="P2" s="221" t="s">
        <v>307</v>
      </c>
      <c r="Q2" s="224"/>
    </row>
    <row r="3" spans="1:17" x14ac:dyDescent="0.25">
      <c r="A3" s="221" t="s">
        <v>1</v>
      </c>
      <c r="B3" s="276" t="str">
        <f>Summary!B3</f>
        <v>Bird Dog Group</v>
      </c>
      <c r="C3" s="276"/>
      <c r="E3" s="225" t="s">
        <v>9</v>
      </c>
      <c r="F3" s="276">
        <f>Summary!F3</f>
        <v>0</v>
      </c>
      <c r="G3" s="276"/>
      <c r="H3" s="222"/>
      <c r="I3" s="248">
        <v>13000</v>
      </c>
      <c r="J3" s="232" t="s">
        <v>1757</v>
      </c>
      <c r="K3" s="243"/>
      <c r="L3" s="248">
        <v>24000</v>
      </c>
      <c r="M3" s="232" t="s">
        <v>312</v>
      </c>
      <c r="N3" s="243"/>
      <c r="O3" s="248">
        <v>32000</v>
      </c>
      <c r="P3" s="232" t="s">
        <v>1765</v>
      </c>
      <c r="Q3" s="243"/>
    </row>
    <row r="4" spans="1:17" x14ac:dyDescent="0.25">
      <c r="A4" s="221" t="s">
        <v>2</v>
      </c>
      <c r="B4" s="276">
        <f>Summary!B4</f>
        <v>0</v>
      </c>
      <c r="C4" s="276"/>
      <c r="E4" s="225" t="s">
        <v>10</v>
      </c>
      <c r="F4" s="276">
        <f>Summary!F4</f>
        <v>0</v>
      </c>
      <c r="G4" s="276"/>
      <c r="H4" s="222"/>
      <c r="I4" s="248">
        <v>15000</v>
      </c>
      <c r="J4" s="221" t="s">
        <v>1758</v>
      </c>
      <c r="K4" s="224"/>
      <c r="L4" s="223">
        <v>25000</v>
      </c>
      <c r="M4" s="221" t="s">
        <v>313</v>
      </c>
      <c r="N4" s="224"/>
      <c r="O4" s="223">
        <v>35000</v>
      </c>
      <c r="P4" s="221" t="s">
        <v>1766</v>
      </c>
      <c r="Q4" s="224"/>
    </row>
    <row r="5" spans="1:17" x14ac:dyDescent="0.25">
      <c r="A5" s="221" t="s">
        <v>3</v>
      </c>
      <c r="B5" s="276">
        <f>Summary!B5</f>
        <v>0</v>
      </c>
      <c r="C5" s="276"/>
      <c r="G5" s="222"/>
      <c r="H5" s="222"/>
      <c r="I5" s="248">
        <v>17000</v>
      </c>
      <c r="J5" s="232" t="s">
        <v>1759</v>
      </c>
      <c r="K5" s="243"/>
      <c r="L5" s="248">
        <v>26000</v>
      </c>
      <c r="M5" s="232" t="s">
        <v>311</v>
      </c>
      <c r="N5" s="243"/>
      <c r="O5" s="248">
        <v>39000</v>
      </c>
      <c r="P5" s="232" t="s">
        <v>1767</v>
      </c>
      <c r="Q5" s="243"/>
    </row>
    <row r="6" spans="1:17" x14ac:dyDescent="0.25">
      <c r="A6" s="221" t="s">
        <v>4</v>
      </c>
      <c r="B6" s="276" t="str">
        <f>Summary!B6</f>
        <v>Ebert</v>
      </c>
      <c r="C6" s="276"/>
      <c r="G6" s="222"/>
      <c r="H6" s="222"/>
      <c r="I6" s="248">
        <v>17600</v>
      </c>
      <c r="J6" s="232" t="s">
        <v>1761</v>
      </c>
      <c r="K6" s="243"/>
      <c r="L6" s="248">
        <v>26500</v>
      </c>
      <c r="M6" s="232" t="s">
        <v>308</v>
      </c>
      <c r="N6" s="243"/>
      <c r="O6" s="248">
        <v>40000</v>
      </c>
      <c r="P6" s="232" t="s">
        <v>1768</v>
      </c>
      <c r="Q6" s="243"/>
    </row>
    <row r="7" spans="1:17" x14ac:dyDescent="0.25">
      <c r="A7" s="221" t="s">
        <v>5</v>
      </c>
      <c r="B7" s="276" t="str">
        <f>Summary!B7</f>
        <v>2440 Beretania Circle</v>
      </c>
      <c r="C7" s="276"/>
      <c r="G7" s="222"/>
      <c r="H7" s="222"/>
      <c r="I7" s="248">
        <v>18000</v>
      </c>
      <c r="J7" s="232" t="s">
        <v>1760</v>
      </c>
      <c r="K7" s="243"/>
      <c r="L7" s="248">
        <v>27000</v>
      </c>
      <c r="M7" s="232" t="s">
        <v>315</v>
      </c>
      <c r="N7" s="243"/>
      <c r="O7" s="248">
        <v>50000</v>
      </c>
      <c r="P7" s="232" t="s">
        <v>317</v>
      </c>
      <c r="Q7" s="243"/>
    </row>
    <row r="8" spans="1:17" x14ac:dyDescent="0.25">
      <c r="A8" s="221" t="s">
        <v>6</v>
      </c>
      <c r="B8" s="276" t="str">
        <f>Summary!B8</f>
        <v xml:space="preserve">Charlotte, NC </v>
      </c>
      <c r="C8" s="276"/>
      <c r="G8" s="222"/>
      <c r="H8" s="222"/>
      <c r="I8" s="248">
        <v>18500</v>
      </c>
      <c r="J8" s="221" t="s">
        <v>1762</v>
      </c>
      <c r="K8" s="224"/>
      <c r="L8" s="223">
        <v>28000</v>
      </c>
      <c r="M8" s="221" t="s">
        <v>309</v>
      </c>
      <c r="N8" s="224"/>
      <c r="O8" s="223">
        <v>60000</v>
      </c>
      <c r="P8" s="221" t="s">
        <v>316</v>
      </c>
      <c r="Q8" s="224"/>
    </row>
    <row r="9" spans="1:17" ht="15.75" thickBot="1" x14ac:dyDescent="0.3">
      <c r="A9" s="227"/>
      <c r="B9" s="222"/>
      <c r="C9" s="222"/>
      <c r="D9" s="222"/>
      <c r="E9" s="222"/>
      <c r="F9" s="222"/>
      <c r="G9" s="222"/>
      <c r="H9" s="222"/>
      <c r="I9" s="249"/>
      <c r="J9" s="246"/>
      <c r="K9" s="244"/>
      <c r="L9" s="249"/>
      <c r="M9" s="246"/>
      <c r="N9" s="244"/>
      <c r="O9" s="249">
        <v>70000</v>
      </c>
      <c r="P9" s="246" t="s">
        <v>55</v>
      </c>
      <c r="Q9" s="244"/>
    </row>
    <row r="10" spans="1:17" x14ac:dyDescent="0.25">
      <c r="A10" s="250" t="s">
        <v>318</v>
      </c>
      <c r="B10" s="240" t="s">
        <v>596</v>
      </c>
      <c r="C10" s="240" t="s">
        <v>597</v>
      </c>
      <c r="D10" s="240" t="s">
        <v>598</v>
      </c>
      <c r="E10" s="240" t="s">
        <v>599</v>
      </c>
      <c r="F10" s="240" t="s">
        <v>112</v>
      </c>
    </row>
    <row r="11" spans="1:17" x14ac:dyDescent="0.25">
      <c r="A11" s="226">
        <v>10100</v>
      </c>
      <c r="B11" s="226" t="s">
        <v>1248</v>
      </c>
      <c r="C11" s="228"/>
      <c r="D11" s="241">
        <v>441</v>
      </c>
      <c r="E11" s="226" t="s">
        <v>1047</v>
      </c>
      <c r="F11" s="234">
        <f>C11*D11</f>
        <v>0</v>
      </c>
    </row>
    <row r="12" spans="1:17" x14ac:dyDescent="0.25">
      <c r="A12" s="226">
        <v>10110</v>
      </c>
      <c r="B12" s="226" t="s">
        <v>1249</v>
      </c>
      <c r="C12" s="228"/>
      <c r="D12" s="241">
        <v>464</v>
      </c>
      <c r="E12" s="226" t="s">
        <v>1047</v>
      </c>
      <c r="F12" s="234">
        <f t="shared" ref="F12:F75" si="0">C12*D12</f>
        <v>0</v>
      </c>
    </row>
    <row r="13" spans="1:17" x14ac:dyDescent="0.25">
      <c r="A13" s="226">
        <v>10120</v>
      </c>
      <c r="B13" s="226" t="s">
        <v>1250</v>
      </c>
      <c r="C13" s="228"/>
      <c r="D13" s="241">
        <v>488</v>
      </c>
      <c r="E13" s="226" t="s">
        <v>1047</v>
      </c>
      <c r="F13" s="234">
        <f t="shared" si="0"/>
        <v>0</v>
      </c>
    </row>
    <row r="14" spans="1:17" x14ac:dyDescent="0.25">
      <c r="A14" s="226">
        <v>10130</v>
      </c>
      <c r="B14" s="226" t="s">
        <v>1251</v>
      </c>
      <c r="C14" s="229"/>
      <c r="D14" s="241">
        <v>491</v>
      </c>
      <c r="E14" s="226" t="s">
        <v>1047</v>
      </c>
      <c r="F14" s="234">
        <f t="shared" si="0"/>
        <v>0</v>
      </c>
    </row>
    <row r="15" spans="1:17" x14ac:dyDescent="0.25">
      <c r="A15" s="226">
        <v>10140</v>
      </c>
      <c r="B15" s="226" t="s">
        <v>1252</v>
      </c>
      <c r="C15" s="228"/>
      <c r="D15" s="241">
        <v>632</v>
      </c>
      <c r="E15" s="226" t="s">
        <v>1047</v>
      </c>
      <c r="F15" s="234">
        <f t="shared" si="0"/>
        <v>0</v>
      </c>
    </row>
    <row r="16" spans="1:17" x14ac:dyDescent="0.25">
      <c r="A16" s="226">
        <v>10150</v>
      </c>
      <c r="B16" s="226" t="s">
        <v>1253</v>
      </c>
      <c r="C16" s="228"/>
      <c r="D16" s="241">
        <v>635</v>
      </c>
      <c r="E16" s="226" t="s">
        <v>1047</v>
      </c>
      <c r="F16" s="234">
        <f t="shared" si="0"/>
        <v>0</v>
      </c>
    </row>
    <row r="17" spans="1:6" x14ac:dyDescent="0.25">
      <c r="A17" s="226">
        <v>10160</v>
      </c>
      <c r="B17" s="226" t="s">
        <v>1254</v>
      </c>
      <c r="C17" s="228"/>
      <c r="D17" s="241">
        <v>768</v>
      </c>
      <c r="E17" s="226" t="s">
        <v>1047</v>
      </c>
      <c r="F17" s="234">
        <f t="shared" si="0"/>
        <v>0</v>
      </c>
    </row>
    <row r="18" spans="1:6" x14ac:dyDescent="0.25">
      <c r="A18" s="226">
        <v>10200</v>
      </c>
      <c r="B18" s="226" t="s">
        <v>1152</v>
      </c>
      <c r="C18" s="230"/>
      <c r="D18" s="241">
        <v>409</v>
      </c>
      <c r="E18" s="226" t="s">
        <v>1047</v>
      </c>
      <c r="F18" s="234">
        <f t="shared" si="0"/>
        <v>0</v>
      </c>
    </row>
    <row r="19" spans="1:6" x14ac:dyDescent="0.25">
      <c r="A19" s="226">
        <v>10210</v>
      </c>
      <c r="B19" s="226" t="s">
        <v>1153</v>
      </c>
      <c r="C19" s="230"/>
      <c r="D19" s="241">
        <v>437</v>
      </c>
      <c r="E19" s="226" t="s">
        <v>1047</v>
      </c>
      <c r="F19" s="234">
        <f t="shared" si="0"/>
        <v>0</v>
      </c>
    </row>
    <row r="20" spans="1:6" x14ac:dyDescent="0.25">
      <c r="A20" s="226">
        <v>10220</v>
      </c>
      <c r="B20" s="226" t="s">
        <v>1154</v>
      </c>
      <c r="C20" s="230"/>
      <c r="D20" s="241">
        <v>461</v>
      </c>
      <c r="E20" s="226" t="s">
        <v>1047</v>
      </c>
      <c r="F20" s="234">
        <f t="shared" si="0"/>
        <v>0</v>
      </c>
    </row>
    <row r="21" spans="1:6" x14ac:dyDescent="0.25">
      <c r="A21" s="226">
        <v>10230</v>
      </c>
      <c r="B21" s="226" t="s">
        <v>1155</v>
      </c>
      <c r="C21" s="230"/>
      <c r="D21" s="241">
        <v>421</v>
      </c>
      <c r="E21" s="226" t="s">
        <v>1047</v>
      </c>
      <c r="F21" s="234">
        <f t="shared" si="0"/>
        <v>0</v>
      </c>
    </row>
    <row r="22" spans="1:6" x14ac:dyDescent="0.25">
      <c r="A22" s="226">
        <v>10240</v>
      </c>
      <c r="B22" s="226" t="s">
        <v>1156</v>
      </c>
      <c r="C22" s="226"/>
      <c r="D22" s="241">
        <v>421</v>
      </c>
      <c r="E22" s="226" t="s">
        <v>1047</v>
      </c>
      <c r="F22" s="234">
        <f t="shared" si="0"/>
        <v>0</v>
      </c>
    </row>
    <row r="23" spans="1:6" x14ac:dyDescent="0.25">
      <c r="A23" s="226">
        <v>10250</v>
      </c>
      <c r="B23" s="226" t="s">
        <v>1157</v>
      </c>
      <c r="C23" s="235"/>
      <c r="D23" s="241">
        <v>433</v>
      </c>
      <c r="E23" s="226" t="s">
        <v>1047</v>
      </c>
      <c r="F23" s="234">
        <f t="shared" si="0"/>
        <v>0</v>
      </c>
    </row>
    <row r="24" spans="1:6" x14ac:dyDescent="0.25">
      <c r="A24" s="226">
        <v>10260</v>
      </c>
      <c r="B24" s="226" t="s">
        <v>1158</v>
      </c>
      <c r="C24" s="230"/>
      <c r="D24" s="241">
        <v>442</v>
      </c>
      <c r="E24" s="226" t="s">
        <v>1047</v>
      </c>
      <c r="F24" s="234">
        <f t="shared" si="0"/>
        <v>0</v>
      </c>
    </row>
    <row r="25" spans="1:6" x14ac:dyDescent="0.25">
      <c r="A25" s="226">
        <v>10270</v>
      </c>
      <c r="B25" s="226" t="s">
        <v>1159</v>
      </c>
      <c r="C25" s="230"/>
      <c r="D25" s="241">
        <v>488</v>
      </c>
      <c r="E25" s="226" t="s">
        <v>1047</v>
      </c>
      <c r="F25" s="234">
        <f t="shared" si="0"/>
        <v>0</v>
      </c>
    </row>
    <row r="26" spans="1:6" x14ac:dyDescent="0.25">
      <c r="A26" s="226">
        <v>10280</v>
      </c>
      <c r="B26" s="226" t="s">
        <v>1160</v>
      </c>
      <c r="C26" s="230"/>
      <c r="D26" s="241">
        <v>508</v>
      </c>
      <c r="E26" s="226" t="s">
        <v>1047</v>
      </c>
      <c r="F26" s="234">
        <f t="shared" si="0"/>
        <v>0</v>
      </c>
    </row>
    <row r="27" spans="1:6" x14ac:dyDescent="0.25">
      <c r="A27" s="226">
        <v>10300</v>
      </c>
      <c r="B27" s="226" t="s">
        <v>1161</v>
      </c>
      <c r="C27" s="230"/>
      <c r="D27" s="241">
        <v>515</v>
      </c>
      <c r="E27" s="226" t="s">
        <v>1047</v>
      </c>
      <c r="F27" s="234">
        <f t="shared" si="0"/>
        <v>0</v>
      </c>
    </row>
    <row r="28" spans="1:6" x14ac:dyDescent="0.25">
      <c r="A28" s="226">
        <v>10310</v>
      </c>
      <c r="B28" s="226" t="s">
        <v>1162</v>
      </c>
      <c r="C28" s="230"/>
      <c r="D28" s="241">
        <v>515</v>
      </c>
      <c r="E28" s="226" t="s">
        <v>1047</v>
      </c>
      <c r="F28" s="234">
        <f t="shared" si="0"/>
        <v>0</v>
      </c>
    </row>
    <row r="29" spans="1:6" x14ac:dyDescent="0.25">
      <c r="A29" s="226">
        <v>10320</v>
      </c>
      <c r="B29" s="226" t="s">
        <v>1163</v>
      </c>
      <c r="C29" s="230"/>
      <c r="D29" s="241">
        <v>528</v>
      </c>
      <c r="E29" s="226" t="s">
        <v>1047</v>
      </c>
      <c r="F29" s="234">
        <f t="shared" si="0"/>
        <v>0</v>
      </c>
    </row>
    <row r="30" spans="1:6" x14ac:dyDescent="0.25">
      <c r="A30" s="226">
        <v>10330</v>
      </c>
      <c r="B30" s="226" t="s">
        <v>1164</v>
      </c>
      <c r="C30" s="230"/>
      <c r="D30" s="241">
        <v>541</v>
      </c>
      <c r="E30" s="226" t="s">
        <v>1047</v>
      </c>
      <c r="F30" s="234">
        <f t="shared" si="0"/>
        <v>0</v>
      </c>
    </row>
    <row r="31" spans="1:6" x14ac:dyDescent="0.25">
      <c r="A31" s="226">
        <v>10340</v>
      </c>
      <c r="B31" s="226" t="s">
        <v>1165</v>
      </c>
      <c r="C31" s="230"/>
      <c r="D31" s="241">
        <v>554</v>
      </c>
      <c r="E31" s="226" t="s">
        <v>1047</v>
      </c>
      <c r="F31" s="234">
        <f t="shared" si="0"/>
        <v>0</v>
      </c>
    </row>
    <row r="32" spans="1:6" x14ac:dyDescent="0.25">
      <c r="A32" s="226">
        <v>10350</v>
      </c>
      <c r="B32" s="226" t="s">
        <v>1166</v>
      </c>
      <c r="C32" s="230"/>
      <c r="D32" s="241">
        <v>591</v>
      </c>
      <c r="E32" s="226" t="s">
        <v>1047</v>
      </c>
      <c r="F32" s="234">
        <f t="shared" si="0"/>
        <v>0</v>
      </c>
    </row>
    <row r="33" spans="1:6" x14ac:dyDescent="0.25">
      <c r="A33" s="226">
        <v>10360</v>
      </c>
      <c r="B33" s="226" t="s">
        <v>1167</v>
      </c>
      <c r="C33" s="235"/>
      <c r="D33" s="241">
        <v>692</v>
      </c>
      <c r="E33" s="226" t="s">
        <v>1047</v>
      </c>
      <c r="F33" s="234">
        <f t="shared" si="0"/>
        <v>0</v>
      </c>
    </row>
    <row r="34" spans="1:6" x14ac:dyDescent="0.25">
      <c r="A34" s="226">
        <v>10370</v>
      </c>
      <c r="B34" s="226" t="s">
        <v>1168</v>
      </c>
      <c r="C34" s="230"/>
      <c r="D34" s="241">
        <v>716</v>
      </c>
      <c r="E34" s="226" t="s">
        <v>1047</v>
      </c>
      <c r="F34" s="234">
        <f t="shared" si="0"/>
        <v>0</v>
      </c>
    </row>
    <row r="35" spans="1:6" x14ac:dyDescent="0.25">
      <c r="A35" s="226">
        <v>10380</v>
      </c>
      <c r="B35" s="226" t="s">
        <v>1169</v>
      </c>
      <c r="C35" s="230"/>
      <c r="D35" s="241">
        <v>547</v>
      </c>
      <c r="E35" s="226" t="s">
        <v>1047</v>
      </c>
      <c r="F35" s="234">
        <f t="shared" si="0"/>
        <v>0</v>
      </c>
    </row>
    <row r="36" spans="1:6" x14ac:dyDescent="0.25">
      <c r="A36" s="226">
        <v>10390</v>
      </c>
      <c r="B36" s="226" t="s">
        <v>1170</v>
      </c>
      <c r="C36" s="230"/>
      <c r="D36" s="241">
        <v>547</v>
      </c>
      <c r="E36" s="226" t="s">
        <v>1047</v>
      </c>
      <c r="F36" s="234">
        <f t="shared" si="0"/>
        <v>0</v>
      </c>
    </row>
    <row r="37" spans="1:6" x14ac:dyDescent="0.25">
      <c r="A37" s="226">
        <v>10400</v>
      </c>
      <c r="B37" s="226" t="s">
        <v>1171</v>
      </c>
      <c r="C37" s="230"/>
      <c r="D37" s="241">
        <v>560</v>
      </c>
      <c r="E37" s="226" t="s">
        <v>1047</v>
      </c>
      <c r="F37" s="234">
        <f t="shared" si="0"/>
        <v>0</v>
      </c>
    </row>
    <row r="38" spans="1:6" x14ac:dyDescent="0.25">
      <c r="A38" s="226">
        <v>10410</v>
      </c>
      <c r="B38" s="226" t="s">
        <v>1172</v>
      </c>
      <c r="C38" s="235"/>
      <c r="D38" s="241">
        <v>574</v>
      </c>
      <c r="E38" s="226" t="s">
        <v>1047</v>
      </c>
      <c r="F38" s="234">
        <f t="shared" si="0"/>
        <v>0</v>
      </c>
    </row>
    <row r="39" spans="1:6" x14ac:dyDescent="0.25">
      <c r="A39" s="226">
        <v>10420</v>
      </c>
      <c r="B39" s="226" t="s">
        <v>1173</v>
      </c>
      <c r="C39" s="230"/>
      <c r="D39" s="241">
        <v>587</v>
      </c>
      <c r="E39" s="226" t="s">
        <v>1047</v>
      </c>
      <c r="F39" s="234">
        <f t="shared" si="0"/>
        <v>0</v>
      </c>
    </row>
    <row r="40" spans="1:6" x14ac:dyDescent="0.25">
      <c r="A40" s="226">
        <v>10430</v>
      </c>
      <c r="B40" s="226" t="s">
        <v>1174</v>
      </c>
      <c r="C40" s="230"/>
      <c r="D40" s="241">
        <v>627</v>
      </c>
      <c r="E40" s="226" t="s">
        <v>1047</v>
      </c>
      <c r="F40" s="234">
        <f t="shared" si="0"/>
        <v>0</v>
      </c>
    </row>
    <row r="41" spans="1:6" x14ac:dyDescent="0.25">
      <c r="A41" s="226">
        <v>10440</v>
      </c>
      <c r="B41" s="226" t="s">
        <v>1175</v>
      </c>
      <c r="C41" s="230"/>
      <c r="D41" s="241">
        <v>733</v>
      </c>
      <c r="E41" s="226" t="s">
        <v>1047</v>
      </c>
      <c r="F41" s="234">
        <f t="shared" si="0"/>
        <v>0</v>
      </c>
    </row>
    <row r="42" spans="1:6" x14ac:dyDescent="0.25">
      <c r="A42" s="226">
        <v>10500</v>
      </c>
      <c r="B42" s="226" t="s">
        <v>1617</v>
      </c>
      <c r="C42" s="229"/>
      <c r="D42" s="241">
        <v>910</v>
      </c>
      <c r="E42" s="226" t="s">
        <v>1047</v>
      </c>
      <c r="F42" s="234">
        <f t="shared" si="0"/>
        <v>0</v>
      </c>
    </row>
    <row r="43" spans="1:6" x14ac:dyDescent="0.25">
      <c r="A43" s="226">
        <v>10510</v>
      </c>
      <c r="B43" s="226" t="s">
        <v>1618</v>
      </c>
      <c r="C43" s="228"/>
      <c r="D43" s="241">
        <v>936</v>
      </c>
      <c r="E43" s="226" t="s">
        <v>1047</v>
      </c>
      <c r="F43" s="234">
        <f t="shared" si="0"/>
        <v>0</v>
      </c>
    </row>
    <row r="44" spans="1:6" x14ac:dyDescent="0.25">
      <c r="A44" s="226">
        <v>10520</v>
      </c>
      <c r="B44" s="226" t="s">
        <v>1619</v>
      </c>
      <c r="C44" s="228"/>
      <c r="D44" s="241">
        <v>1003</v>
      </c>
      <c r="E44" s="226" t="s">
        <v>1047</v>
      </c>
      <c r="F44" s="234">
        <f t="shared" si="0"/>
        <v>0</v>
      </c>
    </row>
    <row r="45" spans="1:6" x14ac:dyDescent="0.25">
      <c r="A45" s="226">
        <v>10530</v>
      </c>
      <c r="B45" s="226" t="s">
        <v>1620</v>
      </c>
      <c r="C45" s="228"/>
      <c r="D45" s="241">
        <v>1026</v>
      </c>
      <c r="E45" s="226" t="s">
        <v>1047</v>
      </c>
      <c r="F45" s="234">
        <f t="shared" si="0"/>
        <v>0</v>
      </c>
    </row>
    <row r="46" spans="1:6" x14ac:dyDescent="0.25">
      <c r="A46" s="226">
        <v>10540</v>
      </c>
      <c r="B46" s="226" t="s">
        <v>1621</v>
      </c>
      <c r="C46" s="228"/>
      <c r="D46" s="241">
        <v>1085</v>
      </c>
      <c r="E46" s="226" t="s">
        <v>1047</v>
      </c>
      <c r="F46" s="234">
        <f t="shared" si="0"/>
        <v>0</v>
      </c>
    </row>
    <row r="47" spans="1:6" x14ac:dyDescent="0.25">
      <c r="A47" s="226">
        <v>10550</v>
      </c>
      <c r="B47" s="226" t="s">
        <v>1622</v>
      </c>
      <c r="C47" s="228"/>
      <c r="D47" s="241">
        <v>1303</v>
      </c>
      <c r="E47" s="226" t="s">
        <v>1047</v>
      </c>
      <c r="F47" s="234">
        <f t="shared" si="0"/>
        <v>0</v>
      </c>
    </row>
    <row r="48" spans="1:6" x14ac:dyDescent="0.25">
      <c r="A48" s="226">
        <v>10560</v>
      </c>
      <c r="B48" s="226" t="s">
        <v>1623</v>
      </c>
      <c r="C48" s="229"/>
      <c r="D48" s="241">
        <v>1426</v>
      </c>
      <c r="E48" s="226" t="s">
        <v>1047</v>
      </c>
      <c r="F48" s="234">
        <f t="shared" si="0"/>
        <v>0</v>
      </c>
    </row>
    <row r="49" spans="1:6" x14ac:dyDescent="0.25">
      <c r="A49" s="226">
        <v>10600</v>
      </c>
      <c r="B49" s="226" t="s">
        <v>1610</v>
      </c>
      <c r="C49" s="228"/>
      <c r="D49" s="241">
        <v>659</v>
      </c>
      <c r="E49" s="226" t="s">
        <v>1047</v>
      </c>
      <c r="F49" s="234">
        <f t="shared" si="0"/>
        <v>0</v>
      </c>
    </row>
    <row r="50" spans="1:6" x14ac:dyDescent="0.25">
      <c r="A50" s="226">
        <v>10610</v>
      </c>
      <c r="B50" s="226" t="s">
        <v>1611</v>
      </c>
      <c r="C50" s="228"/>
      <c r="D50" s="241">
        <v>700</v>
      </c>
      <c r="E50" s="226" t="s">
        <v>1047</v>
      </c>
      <c r="F50" s="234">
        <f t="shared" si="0"/>
        <v>0</v>
      </c>
    </row>
    <row r="51" spans="1:6" x14ac:dyDescent="0.25">
      <c r="A51" s="226">
        <v>10620</v>
      </c>
      <c r="B51" s="226" t="s">
        <v>1612</v>
      </c>
      <c r="C51" s="228"/>
      <c r="D51" s="241">
        <v>802</v>
      </c>
      <c r="E51" s="226" t="s">
        <v>1047</v>
      </c>
      <c r="F51" s="234">
        <f t="shared" si="0"/>
        <v>0</v>
      </c>
    </row>
    <row r="52" spans="1:6" x14ac:dyDescent="0.25">
      <c r="A52" s="226">
        <v>10630</v>
      </c>
      <c r="B52" s="226" t="s">
        <v>1613</v>
      </c>
      <c r="C52" s="228"/>
      <c r="D52" s="241">
        <v>866</v>
      </c>
      <c r="E52" s="226" t="s">
        <v>1047</v>
      </c>
      <c r="F52" s="234">
        <f t="shared" si="0"/>
        <v>0</v>
      </c>
    </row>
    <row r="53" spans="1:6" x14ac:dyDescent="0.25">
      <c r="A53" s="226">
        <v>10640</v>
      </c>
      <c r="B53" s="226" t="s">
        <v>1614</v>
      </c>
      <c r="C53" s="229"/>
      <c r="D53" s="241">
        <v>974</v>
      </c>
      <c r="E53" s="226" t="s">
        <v>1047</v>
      </c>
      <c r="F53" s="234">
        <f t="shared" si="0"/>
        <v>0</v>
      </c>
    </row>
    <row r="54" spans="1:6" x14ac:dyDescent="0.25">
      <c r="A54" s="226">
        <v>10650</v>
      </c>
      <c r="B54" s="226" t="s">
        <v>1615</v>
      </c>
      <c r="C54" s="229"/>
      <c r="D54" s="241">
        <v>1091</v>
      </c>
      <c r="E54" s="226" t="s">
        <v>1047</v>
      </c>
      <c r="F54" s="234">
        <f t="shared" si="0"/>
        <v>0</v>
      </c>
    </row>
    <row r="55" spans="1:6" x14ac:dyDescent="0.25">
      <c r="A55" s="226">
        <v>10660</v>
      </c>
      <c r="B55" s="226" t="s">
        <v>1616</v>
      </c>
      <c r="C55" s="229"/>
      <c r="D55" s="241">
        <v>1311</v>
      </c>
      <c r="E55" s="226" t="s">
        <v>1047</v>
      </c>
      <c r="F55" s="234">
        <f t="shared" si="0"/>
        <v>0</v>
      </c>
    </row>
    <row r="56" spans="1:6" x14ac:dyDescent="0.25">
      <c r="A56" s="226">
        <v>10700</v>
      </c>
      <c r="B56" s="226" t="s">
        <v>1259</v>
      </c>
      <c r="C56" s="228"/>
      <c r="D56" s="241">
        <v>128</v>
      </c>
      <c r="E56" s="226" t="s">
        <v>1047</v>
      </c>
      <c r="F56" s="234">
        <f t="shared" si="0"/>
        <v>0</v>
      </c>
    </row>
    <row r="57" spans="1:6" x14ac:dyDescent="0.25">
      <c r="A57" s="226">
        <v>10710</v>
      </c>
      <c r="B57" s="226" t="s">
        <v>1255</v>
      </c>
      <c r="C57" s="229"/>
      <c r="D57" s="241">
        <v>113</v>
      </c>
      <c r="E57" s="226" t="s">
        <v>1047</v>
      </c>
      <c r="F57" s="234">
        <f t="shared" si="0"/>
        <v>0</v>
      </c>
    </row>
    <row r="58" spans="1:6" x14ac:dyDescent="0.25">
      <c r="A58" s="226">
        <v>10720</v>
      </c>
      <c r="B58" s="226" t="s">
        <v>1256</v>
      </c>
      <c r="C58" s="229"/>
      <c r="D58" s="241">
        <v>163</v>
      </c>
      <c r="E58" s="226" t="s">
        <v>1047</v>
      </c>
      <c r="F58" s="234">
        <f t="shared" si="0"/>
        <v>0</v>
      </c>
    </row>
    <row r="59" spans="1:6" x14ac:dyDescent="0.25">
      <c r="A59" s="226">
        <v>10730</v>
      </c>
      <c r="B59" s="226" t="s">
        <v>1257</v>
      </c>
      <c r="C59" s="228"/>
      <c r="D59" s="241">
        <v>136</v>
      </c>
      <c r="E59" s="226" t="s">
        <v>1047</v>
      </c>
      <c r="F59" s="234">
        <f t="shared" si="0"/>
        <v>0</v>
      </c>
    </row>
    <row r="60" spans="1:6" x14ac:dyDescent="0.25">
      <c r="A60" s="226">
        <v>10740</v>
      </c>
      <c r="B60" s="226" t="s">
        <v>1258</v>
      </c>
      <c r="C60" s="228"/>
      <c r="D60" s="241">
        <v>302</v>
      </c>
      <c r="E60" s="226" t="s">
        <v>1047</v>
      </c>
      <c r="F60" s="234">
        <f t="shared" si="0"/>
        <v>0</v>
      </c>
    </row>
    <row r="61" spans="1:6" x14ac:dyDescent="0.25">
      <c r="A61" s="226">
        <v>10760</v>
      </c>
      <c r="B61" s="226" t="s">
        <v>1217</v>
      </c>
      <c r="C61" s="229"/>
      <c r="D61" s="241">
        <v>128</v>
      </c>
      <c r="E61" s="226" t="s">
        <v>1047</v>
      </c>
      <c r="F61" s="234">
        <f t="shared" si="0"/>
        <v>0</v>
      </c>
    </row>
    <row r="62" spans="1:6" x14ac:dyDescent="0.25">
      <c r="A62" s="226">
        <v>10770</v>
      </c>
      <c r="B62" s="226" t="s">
        <v>1218</v>
      </c>
      <c r="C62" s="228"/>
      <c r="D62" s="241">
        <v>136</v>
      </c>
      <c r="E62" s="226" t="s">
        <v>1047</v>
      </c>
      <c r="F62" s="234">
        <f t="shared" si="0"/>
        <v>0</v>
      </c>
    </row>
    <row r="63" spans="1:6" x14ac:dyDescent="0.25">
      <c r="A63" s="226">
        <v>10800</v>
      </c>
      <c r="B63" s="226" t="s">
        <v>1195</v>
      </c>
      <c r="C63" s="230"/>
      <c r="D63" s="241">
        <v>169</v>
      </c>
      <c r="E63" s="226" t="s">
        <v>1047</v>
      </c>
      <c r="F63" s="234">
        <f t="shared" si="0"/>
        <v>0</v>
      </c>
    </row>
    <row r="64" spans="1:6" x14ac:dyDescent="0.25">
      <c r="A64" s="226">
        <v>10810</v>
      </c>
      <c r="B64" s="226" t="s">
        <v>1196</v>
      </c>
      <c r="C64" s="230"/>
      <c r="D64" s="241">
        <v>169</v>
      </c>
      <c r="E64" s="226" t="s">
        <v>1047</v>
      </c>
      <c r="F64" s="234">
        <f t="shared" si="0"/>
        <v>0</v>
      </c>
    </row>
    <row r="65" spans="1:6" x14ac:dyDescent="0.25">
      <c r="A65" s="226">
        <v>10820</v>
      </c>
      <c r="B65" s="226" t="s">
        <v>1197</v>
      </c>
      <c r="C65" s="230"/>
      <c r="D65" s="241">
        <v>211</v>
      </c>
      <c r="E65" s="226" t="s">
        <v>1047</v>
      </c>
      <c r="F65" s="234">
        <f t="shared" si="0"/>
        <v>0</v>
      </c>
    </row>
    <row r="66" spans="1:6" x14ac:dyDescent="0.25">
      <c r="A66" s="226">
        <v>10830</v>
      </c>
      <c r="B66" s="226" t="s">
        <v>1198</v>
      </c>
      <c r="C66" s="230"/>
      <c r="D66" s="241">
        <v>189</v>
      </c>
      <c r="E66" s="226" t="s">
        <v>1047</v>
      </c>
      <c r="F66" s="234">
        <f t="shared" si="0"/>
        <v>0</v>
      </c>
    </row>
    <row r="67" spans="1:6" x14ac:dyDescent="0.25">
      <c r="A67" s="226">
        <v>10840</v>
      </c>
      <c r="B67" s="226" t="s">
        <v>1199</v>
      </c>
      <c r="C67" s="230"/>
      <c r="D67" s="241">
        <v>221</v>
      </c>
      <c r="E67" s="226" t="s">
        <v>1047</v>
      </c>
      <c r="F67" s="234">
        <f t="shared" si="0"/>
        <v>0</v>
      </c>
    </row>
    <row r="68" spans="1:6" x14ac:dyDescent="0.25">
      <c r="A68" s="226">
        <v>10850</v>
      </c>
      <c r="B68" s="226" t="s">
        <v>1200</v>
      </c>
      <c r="C68" s="228"/>
      <c r="D68" s="241">
        <v>191</v>
      </c>
      <c r="E68" s="226" t="s">
        <v>1047</v>
      </c>
      <c r="F68" s="234">
        <f t="shared" si="0"/>
        <v>0</v>
      </c>
    </row>
    <row r="69" spans="1:6" x14ac:dyDescent="0.25">
      <c r="A69" s="226">
        <v>10860</v>
      </c>
      <c r="B69" s="226" t="s">
        <v>1201</v>
      </c>
      <c r="C69" s="228"/>
      <c r="D69" s="241">
        <v>191</v>
      </c>
      <c r="E69" s="226" t="s">
        <v>1047</v>
      </c>
      <c r="F69" s="234">
        <f t="shared" si="0"/>
        <v>0</v>
      </c>
    </row>
    <row r="70" spans="1:6" x14ac:dyDescent="0.25">
      <c r="A70" s="226">
        <v>10870</v>
      </c>
      <c r="B70" s="226" t="s">
        <v>1202</v>
      </c>
      <c r="C70" s="229"/>
      <c r="D70" s="241">
        <v>221</v>
      </c>
      <c r="E70" s="226" t="s">
        <v>1047</v>
      </c>
      <c r="F70" s="234">
        <f t="shared" si="0"/>
        <v>0</v>
      </c>
    </row>
    <row r="71" spans="1:6" x14ac:dyDescent="0.25">
      <c r="A71" s="226">
        <v>10880</v>
      </c>
      <c r="B71" s="226" t="s">
        <v>1203</v>
      </c>
      <c r="C71" s="228"/>
      <c r="D71" s="241">
        <v>229</v>
      </c>
      <c r="E71" s="226" t="s">
        <v>1047</v>
      </c>
      <c r="F71" s="234">
        <f t="shared" si="0"/>
        <v>0</v>
      </c>
    </row>
    <row r="72" spans="1:6" x14ac:dyDescent="0.25">
      <c r="A72" s="226">
        <v>10890</v>
      </c>
      <c r="B72" s="226" t="s">
        <v>1204</v>
      </c>
      <c r="C72" s="228"/>
      <c r="D72" s="241">
        <v>275</v>
      </c>
      <c r="E72" s="226" t="s">
        <v>1047</v>
      </c>
      <c r="F72" s="234">
        <f t="shared" si="0"/>
        <v>0</v>
      </c>
    </row>
    <row r="73" spans="1:6" x14ac:dyDescent="0.25">
      <c r="A73" s="226">
        <v>10900</v>
      </c>
      <c r="B73" s="226" t="s">
        <v>1205</v>
      </c>
      <c r="C73" s="228"/>
      <c r="D73" s="241">
        <v>275</v>
      </c>
      <c r="E73" s="226" t="s">
        <v>1047</v>
      </c>
      <c r="F73" s="234">
        <f t="shared" si="0"/>
        <v>0</v>
      </c>
    </row>
    <row r="74" spans="1:6" x14ac:dyDescent="0.25">
      <c r="A74" s="226">
        <v>12100</v>
      </c>
      <c r="B74" s="226" t="s">
        <v>1177</v>
      </c>
      <c r="C74" s="228"/>
      <c r="D74" s="241">
        <v>490</v>
      </c>
      <c r="E74" s="226" t="s">
        <v>1047</v>
      </c>
      <c r="F74" s="234">
        <f t="shared" si="0"/>
        <v>0</v>
      </c>
    </row>
    <row r="75" spans="1:6" x14ac:dyDescent="0.25">
      <c r="A75" s="226">
        <v>12110</v>
      </c>
      <c r="B75" s="226" t="s">
        <v>1753</v>
      </c>
      <c r="C75" s="228"/>
      <c r="D75" s="241">
        <v>467</v>
      </c>
      <c r="E75" s="226" t="s">
        <v>1047</v>
      </c>
      <c r="F75" s="234">
        <f t="shared" si="0"/>
        <v>0</v>
      </c>
    </row>
    <row r="76" spans="1:6" x14ac:dyDescent="0.25">
      <c r="A76" s="226">
        <v>12120</v>
      </c>
      <c r="B76" s="226" t="s">
        <v>1178</v>
      </c>
      <c r="C76" s="228"/>
      <c r="D76" s="241">
        <v>501</v>
      </c>
      <c r="E76" s="226" t="s">
        <v>1047</v>
      </c>
      <c r="F76" s="234">
        <f t="shared" ref="F76:F139" si="1">C76*D76</f>
        <v>0</v>
      </c>
    </row>
    <row r="77" spans="1:6" x14ac:dyDescent="0.25">
      <c r="A77" s="226">
        <v>12130</v>
      </c>
      <c r="B77" s="226" t="s">
        <v>1754</v>
      </c>
      <c r="C77" s="228"/>
      <c r="D77" s="241">
        <v>501</v>
      </c>
      <c r="E77" s="226" t="s">
        <v>1047</v>
      </c>
      <c r="F77" s="234">
        <f t="shared" si="1"/>
        <v>0</v>
      </c>
    </row>
    <row r="78" spans="1:6" x14ac:dyDescent="0.25">
      <c r="A78" s="226">
        <v>12140</v>
      </c>
      <c r="B78" s="226" t="s">
        <v>1179</v>
      </c>
      <c r="C78" s="228"/>
      <c r="D78" s="241">
        <v>582</v>
      </c>
      <c r="E78" s="226" t="s">
        <v>1047</v>
      </c>
      <c r="F78" s="234">
        <f t="shared" si="1"/>
        <v>0</v>
      </c>
    </row>
    <row r="79" spans="1:6" x14ac:dyDescent="0.25">
      <c r="A79" s="226">
        <v>12150</v>
      </c>
      <c r="B79" s="226" t="s">
        <v>1180</v>
      </c>
      <c r="C79" s="229"/>
      <c r="D79" s="241">
        <v>649</v>
      </c>
      <c r="E79" s="226" t="s">
        <v>1047</v>
      </c>
      <c r="F79" s="234">
        <f t="shared" si="1"/>
        <v>0</v>
      </c>
    </row>
    <row r="80" spans="1:6" x14ac:dyDescent="0.25">
      <c r="A80" s="226">
        <v>12160</v>
      </c>
      <c r="B80" s="226" t="s">
        <v>1181</v>
      </c>
      <c r="C80" s="228"/>
      <c r="D80" s="241">
        <v>649</v>
      </c>
      <c r="E80" s="226" t="s">
        <v>1047</v>
      </c>
      <c r="F80" s="234">
        <f t="shared" si="1"/>
        <v>0</v>
      </c>
    </row>
    <row r="81" spans="1:6" x14ac:dyDescent="0.25">
      <c r="A81" s="226">
        <v>12200</v>
      </c>
      <c r="B81" s="226" t="s">
        <v>1183</v>
      </c>
      <c r="C81" s="228"/>
      <c r="D81" s="241">
        <v>479</v>
      </c>
      <c r="E81" s="226" t="s">
        <v>1047</v>
      </c>
      <c r="F81" s="234">
        <f t="shared" si="1"/>
        <v>0</v>
      </c>
    </row>
    <row r="82" spans="1:6" x14ac:dyDescent="0.25">
      <c r="A82" s="226">
        <v>12210</v>
      </c>
      <c r="B82" s="226" t="s">
        <v>1184</v>
      </c>
      <c r="C82" s="228"/>
      <c r="D82" s="241">
        <v>507</v>
      </c>
      <c r="E82" s="226" t="s">
        <v>1047</v>
      </c>
      <c r="F82" s="234">
        <f t="shared" si="1"/>
        <v>0</v>
      </c>
    </row>
    <row r="83" spans="1:6" x14ac:dyDescent="0.25">
      <c r="A83" s="226">
        <v>12220</v>
      </c>
      <c r="B83" s="226" t="s">
        <v>1185</v>
      </c>
      <c r="C83" s="228"/>
      <c r="D83" s="241">
        <v>545</v>
      </c>
      <c r="E83" s="226" t="s">
        <v>1047</v>
      </c>
      <c r="F83" s="234">
        <f t="shared" si="1"/>
        <v>0</v>
      </c>
    </row>
    <row r="84" spans="1:6" x14ac:dyDescent="0.25">
      <c r="A84" s="226">
        <v>12230</v>
      </c>
      <c r="B84" s="226" t="s">
        <v>1186</v>
      </c>
      <c r="C84" s="228"/>
      <c r="D84" s="241">
        <v>545</v>
      </c>
      <c r="E84" s="226" t="s">
        <v>1047</v>
      </c>
      <c r="F84" s="234">
        <f t="shared" si="1"/>
        <v>0</v>
      </c>
    </row>
    <row r="85" spans="1:6" x14ac:dyDescent="0.25">
      <c r="A85" s="226">
        <v>12240</v>
      </c>
      <c r="B85" s="226" t="s">
        <v>1187</v>
      </c>
      <c r="C85" s="228"/>
      <c r="D85" s="241">
        <v>645</v>
      </c>
      <c r="E85" s="226" t="s">
        <v>1047</v>
      </c>
      <c r="F85" s="234">
        <f t="shared" si="1"/>
        <v>0</v>
      </c>
    </row>
    <row r="86" spans="1:6" x14ac:dyDescent="0.25">
      <c r="A86" s="226">
        <v>12250</v>
      </c>
      <c r="B86" s="226" t="s">
        <v>1188</v>
      </c>
      <c r="C86" s="228"/>
      <c r="D86" s="241">
        <v>679</v>
      </c>
      <c r="E86" s="226" t="s">
        <v>1047</v>
      </c>
      <c r="F86" s="234">
        <f t="shared" si="1"/>
        <v>0</v>
      </c>
    </row>
    <row r="87" spans="1:6" x14ac:dyDescent="0.25">
      <c r="A87" s="226">
        <v>12260</v>
      </c>
      <c r="B87" s="226" t="s">
        <v>1189</v>
      </c>
      <c r="C87" s="228"/>
      <c r="D87" s="241">
        <v>765</v>
      </c>
      <c r="E87" s="226" t="s">
        <v>1047</v>
      </c>
      <c r="F87" s="234">
        <f t="shared" si="1"/>
        <v>0</v>
      </c>
    </row>
    <row r="88" spans="1:6" x14ac:dyDescent="0.25">
      <c r="A88" s="226">
        <v>12270</v>
      </c>
      <c r="B88" s="226" t="s">
        <v>1190</v>
      </c>
      <c r="C88" s="228"/>
      <c r="D88" s="241">
        <v>781</v>
      </c>
      <c r="E88" s="226" t="s">
        <v>1047</v>
      </c>
      <c r="F88" s="234">
        <f t="shared" si="1"/>
        <v>0</v>
      </c>
    </row>
    <row r="89" spans="1:6" x14ac:dyDescent="0.25">
      <c r="A89" s="226">
        <v>12300</v>
      </c>
      <c r="B89" s="226" t="s">
        <v>1603</v>
      </c>
      <c r="C89" s="228"/>
      <c r="D89" s="241">
        <v>817</v>
      </c>
      <c r="E89" s="226" t="s">
        <v>1047</v>
      </c>
      <c r="F89" s="234">
        <f t="shared" si="1"/>
        <v>0</v>
      </c>
    </row>
    <row r="90" spans="1:6" x14ac:dyDescent="0.25">
      <c r="A90" s="226">
        <v>12310</v>
      </c>
      <c r="B90" s="226" t="s">
        <v>1604</v>
      </c>
      <c r="C90" s="228"/>
      <c r="D90" s="241">
        <v>817</v>
      </c>
      <c r="E90" s="226" t="s">
        <v>1047</v>
      </c>
      <c r="F90" s="234">
        <f t="shared" si="1"/>
        <v>0</v>
      </c>
    </row>
    <row r="91" spans="1:6" x14ac:dyDescent="0.25">
      <c r="A91" s="226">
        <v>12320</v>
      </c>
      <c r="B91" s="226" t="s">
        <v>1605</v>
      </c>
      <c r="C91" s="228"/>
      <c r="D91" s="241">
        <v>800</v>
      </c>
      <c r="E91" s="226" t="s">
        <v>1047</v>
      </c>
      <c r="F91" s="234">
        <f t="shared" si="1"/>
        <v>0</v>
      </c>
    </row>
    <row r="92" spans="1:6" x14ac:dyDescent="0.25">
      <c r="A92" s="226">
        <v>12330</v>
      </c>
      <c r="B92" s="226" t="s">
        <v>1606</v>
      </c>
      <c r="C92" s="229"/>
      <c r="D92" s="241">
        <v>903</v>
      </c>
      <c r="E92" s="226" t="s">
        <v>1047</v>
      </c>
      <c r="F92" s="234">
        <f t="shared" si="1"/>
        <v>0</v>
      </c>
    </row>
    <row r="93" spans="1:6" x14ac:dyDescent="0.25">
      <c r="A93" s="226">
        <v>12340</v>
      </c>
      <c r="B93" s="226" t="s">
        <v>1607</v>
      </c>
      <c r="C93" s="228"/>
      <c r="D93" s="241">
        <v>1129</v>
      </c>
      <c r="E93" s="226" t="s">
        <v>1047</v>
      </c>
      <c r="F93" s="234">
        <f t="shared" si="1"/>
        <v>0</v>
      </c>
    </row>
    <row r="94" spans="1:6" x14ac:dyDescent="0.25">
      <c r="A94" s="226">
        <v>12350</v>
      </c>
      <c r="B94" s="226" t="s">
        <v>1608</v>
      </c>
      <c r="C94" s="228"/>
      <c r="D94" s="241">
        <v>1195</v>
      </c>
      <c r="E94" s="226" t="s">
        <v>1047</v>
      </c>
      <c r="F94" s="234">
        <f t="shared" si="1"/>
        <v>0</v>
      </c>
    </row>
    <row r="95" spans="1:6" x14ac:dyDescent="0.25">
      <c r="A95" s="226">
        <v>12360</v>
      </c>
      <c r="B95" s="226" t="s">
        <v>1609</v>
      </c>
      <c r="C95" s="228"/>
      <c r="D95" s="241">
        <v>1280</v>
      </c>
      <c r="E95" s="226" t="s">
        <v>1047</v>
      </c>
      <c r="F95" s="234">
        <f t="shared" si="1"/>
        <v>0</v>
      </c>
    </row>
    <row r="96" spans="1:6" x14ac:dyDescent="0.25">
      <c r="A96" s="226">
        <v>12400</v>
      </c>
      <c r="B96" s="226" t="s">
        <v>1596</v>
      </c>
      <c r="C96" s="228"/>
      <c r="D96" s="241">
        <v>596</v>
      </c>
      <c r="E96" s="226" t="s">
        <v>1047</v>
      </c>
      <c r="F96" s="234">
        <f t="shared" si="1"/>
        <v>0</v>
      </c>
    </row>
    <row r="97" spans="1:6" x14ac:dyDescent="0.25">
      <c r="A97" s="226">
        <v>12410</v>
      </c>
      <c r="B97" s="226" t="s">
        <v>1597</v>
      </c>
      <c r="C97" s="228"/>
      <c r="D97" s="241">
        <v>635</v>
      </c>
      <c r="E97" s="226" t="s">
        <v>1047</v>
      </c>
      <c r="F97" s="234">
        <f t="shared" si="1"/>
        <v>0</v>
      </c>
    </row>
    <row r="98" spans="1:6" x14ac:dyDescent="0.25">
      <c r="A98" s="226">
        <v>12420</v>
      </c>
      <c r="B98" s="226" t="s">
        <v>1598</v>
      </c>
      <c r="C98" s="228"/>
      <c r="D98" s="241">
        <v>670</v>
      </c>
      <c r="E98" s="226" t="s">
        <v>1047</v>
      </c>
      <c r="F98" s="234">
        <f t="shared" si="1"/>
        <v>0</v>
      </c>
    </row>
    <row r="99" spans="1:6" x14ac:dyDescent="0.25">
      <c r="A99" s="226">
        <v>12430</v>
      </c>
      <c r="B99" s="226" t="s">
        <v>1599</v>
      </c>
      <c r="C99" s="229"/>
      <c r="D99" s="241">
        <v>764</v>
      </c>
      <c r="E99" s="226" t="s">
        <v>1047</v>
      </c>
      <c r="F99" s="234">
        <f t="shared" si="1"/>
        <v>0</v>
      </c>
    </row>
    <row r="100" spans="1:6" x14ac:dyDescent="0.25">
      <c r="A100" s="226">
        <v>12440</v>
      </c>
      <c r="B100" s="226" t="s">
        <v>1600</v>
      </c>
      <c r="C100" s="228"/>
      <c r="D100" s="241">
        <v>805</v>
      </c>
      <c r="E100" s="226" t="s">
        <v>1047</v>
      </c>
      <c r="F100" s="234">
        <f t="shared" si="1"/>
        <v>0</v>
      </c>
    </row>
    <row r="101" spans="1:6" x14ac:dyDescent="0.25">
      <c r="A101" s="226">
        <v>12450</v>
      </c>
      <c r="B101" s="226" t="s">
        <v>1601</v>
      </c>
      <c r="C101" s="228"/>
      <c r="D101" s="241">
        <v>879</v>
      </c>
      <c r="E101" s="226" t="s">
        <v>1047</v>
      </c>
      <c r="F101" s="234">
        <f t="shared" si="1"/>
        <v>0</v>
      </c>
    </row>
    <row r="102" spans="1:6" x14ac:dyDescent="0.25">
      <c r="A102" s="226">
        <v>12460</v>
      </c>
      <c r="B102" s="226" t="s">
        <v>1602</v>
      </c>
      <c r="C102" s="228"/>
      <c r="D102" s="241">
        <v>999</v>
      </c>
      <c r="E102" s="226" t="s">
        <v>1047</v>
      </c>
      <c r="F102" s="234">
        <f t="shared" si="1"/>
        <v>0</v>
      </c>
    </row>
    <row r="103" spans="1:6" x14ac:dyDescent="0.25">
      <c r="A103" s="226">
        <v>13100</v>
      </c>
      <c r="B103" s="226" t="s">
        <v>1295</v>
      </c>
      <c r="C103" s="228"/>
      <c r="D103" s="241">
        <v>531</v>
      </c>
      <c r="E103" s="226" t="s">
        <v>1047</v>
      </c>
      <c r="F103" s="234">
        <f t="shared" si="1"/>
        <v>0</v>
      </c>
    </row>
    <row r="104" spans="1:6" x14ac:dyDescent="0.25">
      <c r="A104" s="226">
        <v>13110</v>
      </c>
      <c r="B104" s="226" t="s">
        <v>1292</v>
      </c>
      <c r="C104" s="228"/>
      <c r="D104" s="241">
        <v>594</v>
      </c>
      <c r="E104" s="226" t="s">
        <v>1047</v>
      </c>
      <c r="F104" s="234">
        <f t="shared" si="1"/>
        <v>0</v>
      </c>
    </row>
    <row r="105" spans="1:6" x14ac:dyDescent="0.25">
      <c r="A105" s="226">
        <v>13120</v>
      </c>
      <c r="B105" s="226" t="s">
        <v>1296</v>
      </c>
      <c r="C105" s="228"/>
      <c r="D105" s="241">
        <v>660</v>
      </c>
      <c r="E105" s="226" t="s">
        <v>1047</v>
      </c>
      <c r="F105" s="234">
        <f t="shared" si="1"/>
        <v>0</v>
      </c>
    </row>
    <row r="106" spans="1:6" x14ac:dyDescent="0.25">
      <c r="A106" s="226">
        <v>13130</v>
      </c>
      <c r="B106" s="226" t="s">
        <v>1293</v>
      </c>
      <c r="C106" s="229"/>
      <c r="D106" s="241">
        <v>746</v>
      </c>
      <c r="E106" s="226" t="s">
        <v>1047</v>
      </c>
      <c r="F106" s="234">
        <f t="shared" si="1"/>
        <v>0</v>
      </c>
    </row>
    <row r="107" spans="1:6" x14ac:dyDescent="0.25">
      <c r="A107" s="226">
        <v>13140</v>
      </c>
      <c r="B107" s="226" t="s">
        <v>1294</v>
      </c>
      <c r="C107" s="229"/>
      <c r="D107" s="241">
        <v>813</v>
      </c>
      <c r="E107" s="226" t="s">
        <v>1047</v>
      </c>
      <c r="F107" s="234">
        <f t="shared" si="1"/>
        <v>0</v>
      </c>
    </row>
    <row r="108" spans="1:6" x14ac:dyDescent="0.25">
      <c r="A108" s="226">
        <v>13150</v>
      </c>
      <c r="B108" s="226" t="s">
        <v>1297</v>
      </c>
      <c r="C108" s="229"/>
      <c r="D108" s="241">
        <v>892</v>
      </c>
      <c r="E108" s="226" t="s">
        <v>1047</v>
      </c>
      <c r="F108" s="234">
        <f t="shared" si="1"/>
        <v>0</v>
      </c>
    </row>
    <row r="109" spans="1:6" x14ac:dyDescent="0.25">
      <c r="A109" s="226">
        <v>13200</v>
      </c>
      <c r="B109" s="226" t="s">
        <v>1277</v>
      </c>
      <c r="C109" s="228"/>
      <c r="D109" s="241">
        <v>572</v>
      </c>
      <c r="E109" s="226" t="s">
        <v>1047</v>
      </c>
      <c r="F109" s="234">
        <f t="shared" si="1"/>
        <v>0</v>
      </c>
    </row>
    <row r="110" spans="1:6" x14ac:dyDescent="0.25">
      <c r="A110" s="226">
        <v>13210</v>
      </c>
      <c r="B110" s="226" t="s">
        <v>1278</v>
      </c>
      <c r="C110" s="228"/>
      <c r="D110" s="241">
        <v>604</v>
      </c>
      <c r="E110" s="226" t="s">
        <v>1047</v>
      </c>
      <c r="F110" s="234">
        <f t="shared" si="1"/>
        <v>0</v>
      </c>
    </row>
    <row r="111" spans="1:6" x14ac:dyDescent="0.25">
      <c r="A111" s="226">
        <v>13220</v>
      </c>
      <c r="B111" s="226" t="s">
        <v>1279</v>
      </c>
      <c r="C111" s="228"/>
      <c r="D111" s="241">
        <v>640</v>
      </c>
      <c r="E111" s="226" t="s">
        <v>1047</v>
      </c>
      <c r="F111" s="234">
        <f t="shared" si="1"/>
        <v>0</v>
      </c>
    </row>
    <row r="112" spans="1:6" x14ac:dyDescent="0.25">
      <c r="A112" s="226">
        <v>13230</v>
      </c>
      <c r="B112" s="226" t="s">
        <v>1280</v>
      </c>
      <c r="C112" s="228"/>
      <c r="D112" s="241">
        <v>685</v>
      </c>
      <c r="E112" s="226" t="s">
        <v>1047</v>
      </c>
      <c r="F112" s="234">
        <f t="shared" si="1"/>
        <v>0</v>
      </c>
    </row>
    <row r="113" spans="1:6" x14ac:dyDescent="0.25">
      <c r="A113" s="226">
        <v>13300</v>
      </c>
      <c r="B113" s="226" t="s">
        <v>1281</v>
      </c>
      <c r="C113" s="228"/>
      <c r="D113" s="241">
        <v>700</v>
      </c>
      <c r="E113" s="226" t="s">
        <v>1047</v>
      </c>
      <c r="F113" s="234">
        <f t="shared" si="1"/>
        <v>0</v>
      </c>
    </row>
    <row r="114" spans="1:6" x14ac:dyDescent="0.25">
      <c r="A114" s="226">
        <v>13310</v>
      </c>
      <c r="B114" s="226" t="s">
        <v>1282</v>
      </c>
      <c r="C114" s="228"/>
      <c r="D114" s="241">
        <v>743</v>
      </c>
      <c r="E114" s="226" t="s">
        <v>1047</v>
      </c>
      <c r="F114" s="234">
        <f t="shared" si="1"/>
        <v>0</v>
      </c>
    </row>
    <row r="115" spans="1:6" x14ac:dyDescent="0.25">
      <c r="A115" s="226">
        <v>13320</v>
      </c>
      <c r="B115" s="226" t="s">
        <v>1283</v>
      </c>
      <c r="C115" s="228"/>
      <c r="D115" s="241">
        <v>951</v>
      </c>
      <c r="E115" s="226" t="s">
        <v>1047</v>
      </c>
      <c r="F115" s="234">
        <f t="shared" si="1"/>
        <v>0</v>
      </c>
    </row>
    <row r="116" spans="1:6" x14ac:dyDescent="0.25">
      <c r="A116" s="226">
        <v>13330</v>
      </c>
      <c r="B116" s="226" t="s">
        <v>1284</v>
      </c>
      <c r="C116" s="228"/>
      <c r="D116" s="241">
        <v>950</v>
      </c>
      <c r="E116" s="226" t="s">
        <v>1047</v>
      </c>
      <c r="F116" s="234">
        <f t="shared" si="1"/>
        <v>0</v>
      </c>
    </row>
    <row r="117" spans="1:6" x14ac:dyDescent="0.25">
      <c r="A117" s="226">
        <v>13400</v>
      </c>
      <c r="B117" s="226" t="s">
        <v>1589</v>
      </c>
      <c r="C117" s="228"/>
      <c r="D117" s="241">
        <v>942</v>
      </c>
      <c r="E117" s="226" t="s">
        <v>1047</v>
      </c>
      <c r="F117" s="234">
        <f t="shared" si="1"/>
        <v>0</v>
      </c>
    </row>
    <row r="118" spans="1:6" x14ac:dyDescent="0.25">
      <c r="A118" s="226">
        <v>13410</v>
      </c>
      <c r="B118" s="226" t="s">
        <v>1590</v>
      </c>
      <c r="C118" s="228"/>
      <c r="D118" s="241">
        <v>992</v>
      </c>
      <c r="E118" s="226" t="s">
        <v>1047</v>
      </c>
      <c r="F118" s="234">
        <f t="shared" si="1"/>
        <v>0</v>
      </c>
    </row>
    <row r="119" spans="1:6" x14ac:dyDescent="0.25">
      <c r="A119" s="226">
        <v>13420</v>
      </c>
      <c r="B119" s="226" t="s">
        <v>1591</v>
      </c>
      <c r="C119" s="228"/>
      <c r="D119" s="241">
        <v>1021</v>
      </c>
      <c r="E119" s="226" t="s">
        <v>1047</v>
      </c>
      <c r="F119" s="234">
        <f t="shared" si="1"/>
        <v>0</v>
      </c>
    </row>
    <row r="120" spans="1:6" x14ac:dyDescent="0.25">
      <c r="A120" s="226">
        <v>13430</v>
      </c>
      <c r="B120" s="226" t="s">
        <v>1592</v>
      </c>
      <c r="C120" s="228"/>
      <c r="D120" s="241">
        <v>1135</v>
      </c>
      <c r="E120" s="226" t="s">
        <v>1047</v>
      </c>
      <c r="F120" s="234">
        <f t="shared" si="1"/>
        <v>0</v>
      </c>
    </row>
    <row r="121" spans="1:6" x14ac:dyDescent="0.25">
      <c r="A121" s="226">
        <v>13440</v>
      </c>
      <c r="B121" s="226" t="s">
        <v>1593</v>
      </c>
      <c r="C121" s="228"/>
      <c r="D121" s="241">
        <v>1278</v>
      </c>
      <c r="E121" s="226" t="s">
        <v>1047</v>
      </c>
      <c r="F121" s="234">
        <f t="shared" si="1"/>
        <v>0</v>
      </c>
    </row>
    <row r="122" spans="1:6" x14ac:dyDescent="0.25">
      <c r="A122" s="226">
        <v>13450</v>
      </c>
      <c r="B122" s="226" t="s">
        <v>1594</v>
      </c>
      <c r="C122" s="228"/>
      <c r="D122" s="241">
        <v>1306</v>
      </c>
      <c r="E122" s="226" t="s">
        <v>1047</v>
      </c>
      <c r="F122" s="234">
        <f t="shared" si="1"/>
        <v>0</v>
      </c>
    </row>
    <row r="123" spans="1:6" x14ac:dyDescent="0.25">
      <c r="A123" s="226">
        <v>13460</v>
      </c>
      <c r="B123" s="226" t="s">
        <v>1595</v>
      </c>
      <c r="C123" s="228"/>
      <c r="D123" s="241">
        <v>1491</v>
      </c>
      <c r="E123" s="226" t="s">
        <v>1047</v>
      </c>
      <c r="F123" s="234">
        <f t="shared" si="1"/>
        <v>0</v>
      </c>
    </row>
    <row r="124" spans="1:6" x14ac:dyDescent="0.25">
      <c r="A124" s="226">
        <v>13500</v>
      </c>
      <c r="B124" s="226" t="s">
        <v>1582</v>
      </c>
      <c r="C124" s="228"/>
      <c r="D124" s="241">
        <v>696</v>
      </c>
      <c r="E124" s="226" t="s">
        <v>1047</v>
      </c>
      <c r="F124" s="234">
        <f t="shared" si="1"/>
        <v>0</v>
      </c>
    </row>
    <row r="125" spans="1:6" x14ac:dyDescent="0.25">
      <c r="A125" s="226">
        <v>13510</v>
      </c>
      <c r="B125" s="226" t="s">
        <v>1583</v>
      </c>
      <c r="C125" s="228"/>
      <c r="D125" s="241">
        <v>726</v>
      </c>
      <c r="E125" s="226" t="s">
        <v>1047</v>
      </c>
      <c r="F125" s="234">
        <f t="shared" si="1"/>
        <v>0</v>
      </c>
    </row>
    <row r="126" spans="1:6" x14ac:dyDescent="0.25">
      <c r="A126" s="226">
        <v>13520</v>
      </c>
      <c r="B126" s="226" t="s">
        <v>1584</v>
      </c>
      <c r="C126" s="228"/>
      <c r="D126" s="241">
        <v>814</v>
      </c>
      <c r="E126" s="226" t="s">
        <v>1047</v>
      </c>
      <c r="F126" s="234">
        <f t="shared" si="1"/>
        <v>0</v>
      </c>
    </row>
    <row r="127" spans="1:6" x14ac:dyDescent="0.25">
      <c r="A127" s="226">
        <v>13530</v>
      </c>
      <c r="B127" s="226" t="s">
        <v>1585</v>
      </c>
      <c r="C127" s="228"/>
      <c r="D127" s="241">
        <v>877</v>
      </c>
      <c r="E127" s="226" t="s">
        <v>1047</v>
      </c>
      <c r="F127" s="234">
        <f t="shared" si="1"/>
        <v>0</v>
      </c>
    </row>
    <row r="128" spans="1:6" x14ac:dyDescent="0.25">
      <c r="A128" s="226">
        <v>13540</v>
      </c>
      <c r="B128" s="226" t="s">
        <v>1586</v>
      </c>
      <c r="C128" s="228"/>
      <c r="D128" s="241">
        <v>965</v>
      </c>
      <c r="E128" s="226" t="s">
        <v>1047</v>
      </c>
      <c r="F128" s="234">
        <f t="shared" si="1"/>
        <v>0</v>
      </c>
    </row>
    <row r="129" spans="1:6" x14ac:dyDescent="0.25">
      <c r="A129" s="226">
        <v>13550</v>
      </c>
      <c r="B129" s="226" t="s">
        <v>1587</v>
      </c>
      <c r="C129" s="228"/>
      <c r="D129" s="241">
        <v>1050</v>
      </c>
      <c r="E129" s="226" t="s">
        <v>1047</v>
      </c>
      <c r="F129" s="234">
        <f t="shared" si="1"/>
        <v>0</v>
      </c>
    </row>
    <row r="130" spans="1:6" x14ac:dyDescent="0.25">
      <c r="A130" s="226">
        <v>13560</v>
      </c>
      <c r="B130" s="226" t="s">
        <v>1588</v>
      </c>
      <c r="C130" s="228"/>
      <c r="D130" s="241">
        <v>1346</v>
      </c>
      <c r="E130" s="226" t="s">
        <v>1047</v>
      </c>
      <c r="F130" s="234">
        <f t="shared" si="1"/>
        <v>0</v>
      </c>
    </row>
    <row r="131" spans="1:6" x14ac:dyDescent="0.25">
      <c r="A131" s="226">
        <v>13600</v>
      </c>
      <c r="B131" s="226" t="s">
        <v>1191</v>
      </c>
      <c r="C131" s="229"/>
      <c r="D131" s="241">
        <v>39</v>
      </c>
      <c r="E131" s="226" t="s">
        <v>1047</v>
      </c>
      <c r="F131" s="234">
        <f t="shared" si="1"/>
        <v>0</v>
      </c>
    </row>
    <row r="132" spans="1:6" x14ac:dyDescent="0.25">
      <c r="A132" s="226">
        <v>13610</v>
      </c>
      <c r="B132" s="226" t="s">
        <v>1192</v>
      </c>
      <c r="C132" s="228"/>
      <c r="D132" s="241">
        <v>49</v>
      </c>
      <c r="E132" s="226" t="s">
        <v>1047</v>
      </c>
      <c r="F132" s="234">
        <f t="shared" si="1"/>
        <v>0</v>
      </c>
    </row>
    <row r="133" spans="1:6" x14ac:dyDescent="0.25">
      <c r="A133" s="226">
        <v>13620</v>
      </c>
      <c r="B133" s="226" t="s">
        <v>1193</v>
      </c>
      <c r="C133" s="228"/>
      <c r="D133" s="241">
        <v>52</v>
      </c>
      <c r="E133" s="226" t="s">
        <v>1047</v>
      </c>
      <c r="F133" s="234">
        <f t="shared" si="1"/>
        <v>0</v>
      </c>
    </row>
    <row r="134" spans="1:6" x14ac:dyDescent="0.25">
      <c r="A134" s="226">
        <v>13630</v>
      </c>
      <c r="B134" s="226" t="s">
        <v>1194</v>
      </c>
      <c r="C134" s="229"/>
      <c r="D134" s="241">
        <v>115</v>
      </c>
      <c r="E134" s="226" t="s">
        <v>1047</v>
      </c>
      <c r="F134" s="234">
        <f t="shared" si="1"/>
        <v>0</v>
      </c>
    </row>
    <row r="135" spans="1:6" x14ac:dyDescent="0.25">
      <c r="A135" s="226">
        <v>13700</v>
      </c>
      <c r="B135" s="226" t="s">
        <v>1148</v>
      </c>
      <c r="C135" s="228"/>
      <c r="D135" s="241">
        <v>285</v>
      </c>
      <c r="E135" s="226" t="s">
        <v>1047</v>
      </c>
      <c r="F135" s="234">
        <f t="shared" si="1"/>
        <v>0</v>
      </c>
    </row>
    <row r="136" spans="1:6" x14ac:dyDescent="0.25">
      <c r="A136" s="226">
        <v>13710</v>
      </c>
      <c r="B136" s="226" t="s">
        <v>1149</v>
      </c>
      <c r="C136" s="228"/>
      <c r="D136" s="241">
        <v>277</v>
      </c>
      <c r="E136" s="226" t="s">
        <v>1047</v>
      </c>
      <c r="F136" s="234">
        <f t="shared" si="1"/>
        <v>0</v>
      </c>
    </row>
    <row r="137" spans="1:6" x14ac:dyDescent="0.25">
      <c r="A137" s="226">
        <v>13720</v>
      </c>
      <c r="B137" s="226" t="s">
        <v>1150</v>
      </c>
      <c r="C137" s="228"/>
      <c r="D137" s="241">
        <v>367</v>
      </c>
      <c r="E137" s="226" t="s">
        <v>1047</v>
      </c>
      <c r="F137" s="234">
        <f t="shared" si="1"/>
        <v>0</v>
      </c>
    </row>
    <row r="138" spans="1:6" x14ac:dyDescent="0.25">
      <c r="A138" s="226">
        <v>13730</v>
      </c>
      <c r="B138" s="226" t="s">
        <v>1151</v>
      </c>
      <c r="C138" s="228"/>
      <c r="D138" s="241">
        <v>371</v>
      </c>
      <c r="E138" s="226" t="s">
        <v>1047</v>
      </c>
      <c r="F138" s="234">
        <f t="shared" si="1"/>
        <v>0</v>
      </c>
    </row>
    <row r="139" spans="1:6" x14ac:dyDescent="0.25">
      <c r="A139" s="226">
        <v>15100</v>
      </c>
      <c r="B139" s="226" t="s">
        <v>1206</v>
      </c>
      <c r="C139" s="228"/>
      <c r="D139" s="241">
        <v>420</v>
      </c>
      <c r="E139" s="226" t="s">
        <v>1047</v>
      </c>
      <c r="F139" s="234">
        <f t="shared" si="1"/>
        <v>0</v>
      </c>
    </row>
    <row r="140" spans="1:6" x14ac:dyDescent="0.25">
      <c r="A140" s="226">
        <v>15110</v>
      </c>
      <c r="B140" s="226" t="s">
        <v>1207</v>
      </c>
      <c r="C140" s="228"/>
      <c r="D140" s="241">
        <v>435</v>
      </c>
      <c r="E140" s="226" t="s">
        <v>1047</v>
      </c>
      <c r="F140" s="234">
        <f t="shared" ref="F140:F203" si="2">C140*D140</f>
        <v>0</v>
      </c>
    </row>
    <row r="141" spans="1:6" x14ac:dyDescent="0.25">
      <c r="A141" s="226">
        <v>15120</v>
      </c>
      <c r="B141" s="226" t="s">
        <v>1208</v>
      </c>
      <c r="C141" s="228"/>
      <c r="D141" s="241">
        <v>470</v>
      </c>
      <c r="E141" s="226" t="s">
        <v>1047</v>
      </c>
      <c r="F141" s="234">
        <f t="shared" si="2"/>
        <v>0</v>
      </c>
    </row>
    <row r="142" spans="1:6" x14ac:dyDescent="0.25">
      <c r="A142" s="226">
        <v>15130</v>
      </c>
      <c r="B142" s="226" t="s">
        <v>1209</v>
      </c>
      <c r="C142" s="228"/>
      <c r="D142" s="241">
        <v>500</v>
      </c>
      <c r="E142" s="226" t="s">
        <v>1047</v>
      </c>
      <c r="F142" s="234">
        <f t="shared" si="2"/>
        <v>0</v>
      </c>
    </row>
    <row r="143" spans="1:6" x14ac:dyDescent="0.25">
      <c r="A143" s="226">
        <v>15140</v>
      </c>
      <c r="B143" s="226" t="s">
        <v>1210</v>
      </c>
      <c r="C143" s="228"/>
      <c r="D143" s="241">
        <v>550</v>
      </c>
      <c r="E143" s="226" t="s">
        <v>1047</v>
      </c>
      <c r="F143" s="234">
        <f t="shared" si="2"/>
        <v>0</v>
      </c>
    </row>
    <row r="144" spans="1:6" x14ac:dyDescent="0.25">
      <c r="A144" s="226">
        <v>15150</v>
      </c>
      <c r="B144" s="226" t="s">
        <v>1211</v>
      </c>
      <c r="C144" s="228"/>
      <c r="D144" s="241">
        <v>625</v>
      </c>
      <c r="E144" s="226" t="s">
        <v>1047</v>
      </c>
      <c r="F144" s="234">
        <f t="shared" si="2"/>
        <v>0</v>
      </c>
    </row>
    <row r="145" spans="1:6" x14ac:dyDescent="0.25">
      <c r="A145" s="226">
        <v>15160</v>
      </c>
      <c r="B145" s="226" t="s">
        <v>1212</v>
      </c>
      <c r="C145" s="228"/>
      <c r="D145" s="241">
        <v>725</v>
      </c>
      <c r="E145" s="226" t="s">
        <v>1047</v>
      </c>
      <c r="F145" s="234">
        <f t="shared" si="2"/>
        <v>0</v>
      </c>
    </row>
    <row r="146" spans="1:6" x14ac:dyDescent="0.25">
      <c r="A146" s="226">
        <v>15200</v>
      </c>
      <c r="B146" s="226" t="s">
        <v>1264</v>
      </c>
      <c r="C146" s="229"/>
      <c r="D146" s="241">
        <v>443</v>
      </c>
      <c r="E146" s="226" t="s">
        <v>1047</v>
      </c>
      <c r="F146" s="234">
        <f t="shared" si="2"/>
        <v>0</v>
      </c>
    </row>
    <row r="147" spans="1:6" x14ac:dyDescent="0.25">
      <c r="A147" s="226">
        <v>15210</v>
      </c>
      <c r="B147" s="226" t="s">
        <v>1265</v>
      </c>
      <c r="C147" s="228"/>
      <c r="D147" s="241">
        <v>464</v>
      </c>
      <c r="E147" s="226" t="s">
        <v>1047</v>
      </c>
      <c r="F147" s="234">
        <f t="shared" si="2"/>
        <v>0</v>
      </c>
    </row>
    <row r="148" spans="1:6" x14ac:dyDescent="0.25">
      <c r="A148" s="226">
        <v>15220</v>
      </c>
      <c r="B148" s="226" t="s">
        <v>1266</v>
      </c>
      <c r="C148" s="228"/>
      <c r="D148" s="241">
        <v>464</v>
      </c>
      <c r="E148" s="226" t="s">
        <v>1047</v>
      </c>
      <c r="F148" s="234">
        <f t="shared" si="2"/>
        <v>0</v>
      </c>
    </row>
    <row r="149" spans="1:6" x14ac:dyDescent="0.25">
      <c r="A149" s="226">
        <v>15230</v>
      </c>
      <c r="B149" s="226" t="s">
        <v>1267</v>
      </c>
      <c r="C149" s="228"/>
      <c r="D149" s="241">
        <v>515</v>
      </c>
      <c r="E149" s="226" t="s">
        <v>1047</v>
      </c>
      <c r="F149" s="234">
        <f t="shared" si="2"/>
        <v>0</v>
      </c>
    </row>
    <row r="150" spans="1:6" x14ac:dyDescent="0.25">
      <c r="A150" s="226">
        <v>15240</v>
      </c>
      <c r="B150" s="226" t="s">
        <v>1268</v>
      </c>
      <c r="C150" s="228"/>
      <c r="D150" s="241">
        <v>541</v>
      </c>
      <c r="E150" s="226" t="s">
        <v>1047</v>
      </c>
      <c r="F150" s="234">
        <f t="shared" si="2"/>
        <v>0</v>
      </c>
    </row>
    <row r="151" spans="1:6" x14ac:dyDescent="0.25">
      <c r="A151" s="226">
        <v>15250</v>
      </c>
      <c r="B151" s="226" t="s">
        <v>1269</v>
      </c>
      <c r="C151" s="228"/>
      <c r="D151" s="241">
        <v>556</v>
      </c>
      <c r="E151" s="226" t="s">
        <v>1047</v>
      </c>
      <c r="F151" s="234">
        <f t="shared" si="2"/>
        <v>0</v>
      </c>
    </row>
    <row r="152" spans="1:6" x14ac:dyDescent="0.25">
      <c r="A152" s="226">
        <v>15260</v>
      </c>
      <c r="B152" s="226" t="s">
        <v>1270</v>
      </c>
      <c r="C152" s="228"/>
      <c r="D152" s="241">
        <v>567</v>
      </c>
      <c r="E152" s="226" t="s">
        <v>1047</v>
      </c>
      <c r="F152" s="234">
        <f t="shared" si="2"/>
        <v>0</v>
      </c>
    </row>
    <row r="153" spans="1:6" x14ac:dyDescent="0.25">
      <c r="A153" s="226">
        <v>15300</v>
      </c>
      <c r="B153" s="226" t="s">
        <v>1271</v>
      </c>
      <c r="C153" s="228"/>
      <c r="D153" s="241">
        <v>705</v>
      </c>
      <c r="E153" s="226" t="s">
        <v>1047</v>
      </c>
      <c r="F153" s="234">
        <f t="shared" si="2"/>
        <v>0</v>
      </c>
    </row>
    <row r="154" spans="1:6" x14ac:dyDescent="0.25">
      <c r="A154" s="226">
        <v>15310</v>
      </c>
      <c r="B154" s="226" t="s">
        <v>1272</v>
      </c>
      <c r="C154" s="228"/>
      <c r="D154" s="241">
        <v>744</v>
      </c>
      <c r="E154" s="226" t="s">
        <v>1047</v>
      </c>
      <c r="F154" s="234">
        <f t="shared" si="2"/>
        <v>0</v>
      </c>
    </row>
    <row r="155" spans="1:6" x14ac:dyDescent="0.25">
      <c r="A155" s="226">
        <v>15320</v>
      </c>
      <c r="B155" s="226" t="s">
        <v>1274</v>
      </c>
      <c r="C155" s="228"/>
      <c r="D155" s="241">
        <v>783</v>
      </c>
      <c r="E155" s="226" t="s">
        <v>1047</v>
      </c>
      <c r="F155" s="234">
        <f t="shared" si="2"/>
        <v>0</v>
      </c>
    </row>
    <row r="156" spans="1:6" x14ac:dyDescent="0.25">
      <c r="A156" s="226">
        <v>15330</v>
      </c>
      <c r="B156" s="226" t="s">
        <v>1273</v>
      </c>
      <c r="C156" s="228"/>
      <c r="D156" s="241">
        <v>768</v>
      </c>
      <c r="E156" s="226" t="s">
        <v>1047</v>
      </c>
      <c r="F156" s="234">
        <f t="shared" si="2"/>
        <v>0</v>
      </c>
    </row>
    <row r="157" spans="1:6" x14ac:dyDescent="0.25">
      <c r="A157" s="226">
        <v>15340</v>
      </c>
      <c r="B157" s="226" t="s">
        <v>1275</v>
      </c>
      <c r="C157" s="228"/>
      <c r="D157" s="241">
        <v>799</v>
      </c>
      <c r="E157" s="226" t="s">
        <v>1047</v>
      </c>
      <c r="F157" s="234">
        <f t="shared" si="2"/>
        <v>0</v>
      </c>
    </row>
    <row r="158" spans="1:6" x14ac:dyDescent="0.25">
      <c r="A158" s="226">
        <v>15350</v>
      </c>
      <c r="B158" s="226" t="s">
        <v>1276</v>
      </c>
      <c r="C158" s="228"/>
      <c r="D158" s="241">
        <v>854</v>
      </c>
      <c r="E158" s="226" t="s">
        <v>1047</v>
      </c>
      <c r="F158" s="234">
        <f t="shared" si="2"/>
        <v>0</v>
      </c>
    </row>
    <row r="159" spans="1:6" x14ac:dyDescent="0.25">
      <c r="A159" s="226">
        <v>15400</v>
      </c>
      <c r="B159" s="226" t="s">
        <v>1631</v>
      </c>
      <c r="C159" s="228"/>
      <c r="D159" s="241">
        <v>960</v>
      </c>
      <c r="E159" s="226" t="s">
        <v>1047</v>
      </c>
      <c r="F159" s="234">
        <f t="shared" si="2"/>
        <v>0</v>
      </c>
    </row>
    <row r="160" spans="1:6" x14ac:dyDescent="0.25">
      <c r="A160" s="226">
        <v>15410</v>
      </c>
      <c r="B160" s="226" t="s">
        <v>1632</v>
      </c>
      <c r="C160" s="228"/>
      <c r="D160" s="241">
        <v>1044</v>
      </c>
      <c r="E160" s="226" t="s">
        <v>1047</v>
      </c>
      <c r="F160" s="234">
        <f t="shared" si="2"/>
        <v>0</v>
      </c>
    </row>
    <row r="161" spans="1:6" x14ac:dyDescent="0.25">
      <c r="A161" s="226">
        <v>15420</v>
      </c>
      <c r="B161" s="226" t="s">
        <v>1633</v>
      </c>
      <c r="C161" s="229"/>
      <c r="D161" s="241">
        <v>1116</v>
      </c>
      <c r="E161" s="226" t="s">
        <v>1047</v>
      </c>
      <c r="F161" s="234">
        <f t="shared" si="2"/>
        <v>0</v>
      </c>
    </row>
    <row r="162" spans="1:6" x14ac:dyDescent="0.25">
      <c r="A162" s="226">
        <v>15430</v>
      </c>
      <c r="B162" s="226" t="s">
        <v>1634</v>
      </c>
      <c r="C162" s="228"/>
      <c r="D162" s="241">
        <v>1200</v>
      </c>
      <c r="E162" s="226" t="s">
        <v>1047</v>
      </c>
      <c r="F162" s="234">
        <f t="shared" si="2"/>
        <v>0</v>
      </c>
    </row>
    <row r="163" spans="1:6" x14ac:dyDescent="0.25">
      <c r="A163" s="226">
        <v>15440</v>
      </c>
      <c r="B163" s="226" t="s">
        <v>1635</v>
      </c>
      <c r="C163" s="228"/>
      <c r="D163" s="241">
        <v>1344</v>
      </c>
      <c r="E163" s="226" t="s">
        <v>1047</v>
      </c>
      <c r="F163" s="234">
        <f t="shared" si="2"/>
        <v>0</v>
      </c>
    </row>
    <row r="164" spans="1:6" x14ac:dyDescent="0.25">
      <c r="A164" s="226">
        <v>15450</v>
      </c>
      <c r="B164" s="226" t="s">
        <v>1636</v>
      </c>
      <c r="C164" s="229"/>
      <c r="D164" s="241">
        <v>1416</v>
      </c>
      <c r="E164" s="226" t="s">
        <v>1047</v>
      </c>
      <c r="F164" s="234">
        <f t="shared" si="2"/>
        <v>0</v>
      </c>
    </row>
    <row r="165" spans="1:6" x14ac:dyDescent="0.25">
      <c r="A165" s="226">
        <v>15460</v>
      </c>
      <c r="B165" s="226" t="s">
        <v>1637</v>
      </c>
      <c r="C165" s="228"/>
      <c r="D165" s="241">
        <v>1560</v>
      </c>
      <c r="E165" s="226" t="s">
        <v>1047</v>
      </c>
      <c r="F165" s="234">
        <f t="shared" si="2"/>
        <v>0</v>
      </c>
    </row>
    <row r="166" spans="1:6" x14ac:dyDescent="0.25">
      <c r="A166" s="226">
        <v>15500</v>
      </c>
      <c r="B166" s="226" t="s">
        <v>1624</v>
      </c>
      <c r="C166" s="228"/>
      <c r="D166" s="241">
        <v>765</v>
      </c>
      <c r="E166" s="226" t="s">
        <v>1047</v>
      </c>
      <c r="F166" s="234">
        <f t="shared" si="2"/>
        <v>0</v>
      </c>
    </row>
    <row r="167" spans="1:6" x14ac:dyDescent="0.25">
      <c r="A167" s="226">
        <v>15510</v>
      </c>
      <c r="B167" s="226" t="s">
        <v>1625</v>
      </c>
      <c r="C167" s="228"/>
      <c r="D167" s="241">
        <v>791</v>
      </c>
      <c r="E167" s="226" t="s">
        <v>1047</v>
      </c>
      <c r="F167" s="234">
        <f t="shared" si="2"/>
        <v>0</v>
      </c>
    </row>
    <row r="168" spans="1:6" x14ac:dyDescent="0.25">
      <c r="A168" s="226">
        <v>15520</v>
      </c>
      <c r="B168" s="226" t="s">
        <v>1626</v>
      </c>
      <c r="C168" s="228"/>
      <c r="D168" s="241">
        <v>825</v>
      </c>
      <c r="E168" s="226" t="s">
        <v>1047</v>
      </c>
      <c r="F168" s="234">
        <f t="shared" si="2"/>
        <v>0</v>
      </c>
    </row>
    <row r="169" spans="1:6" x14ac:dyDescent="0.25">
      <c r="A169" s="226">
        <v>15530</v>
      </c>
      <c r="B169" s="226" t="s">
        <v>1627</v>
      </c>
      <c r="C169" s="228"/>
      <c r="D169" s="241">
        <v>850</v>
      </c>
      <c r="E169" s="226" t="s">
        <v>1047</v>
      </c>
      <c r="F169" s="234">
        <f t="shared" si="2"/>
        <v>0</v>
      </c>
    </row>
    <row r="170" spans="1:6" x14ac:dyDescent="0.25">
      <c r="A170" s="226">
        <v>15540</v>
      </c>
      <c r="B170" s="226" t="s">
        <v>1628</v>
      </c>
      <c r="C170" s="228"/>
      <c r="D170" s="241">
        <v>935</v>
      </c>
      <c r="E170" s="226" t="s">
        <v>1047</v>
      </c>
      <c r="F170" s="234">
        <f t="shared" si="2"/>
        <v>0</v>
      </c>
    </row>
    <row r="171" spans="1:6" x14ac:dyDescent="0.25">
      <c r="A171" s="226">
        <v>15550</v>
      </c>
      <c r="B171" s="226" t="s">
        <v>1629</v>
      </c>
      <c r="C171" s="229"/>
      <c r="D171" s="241">
        <v>1063</v>
      </c>
      <c r="E171" s="226" t="s">
        <v>1047</v>
      </c>
      <c r="F171" s="234">
        <f t="shared" si="2"/>
        <v>0</v>
      </c>
    </row>
    <row r="172" spans="1:6" x14ac:dyDescent="0.25">
      <c r="A172" s="226">
        <v>15560</v>
      </c>
      <c r="B172" s="226" t="s">
        <v>1630</v>
      </c>
      <c r="C172" s="229"/>
      <c r="D172" s="241">
        <v>1233</v>
      </c>
      <c r="E172" s="226" t="s">
        <v>1047</v>
      </c>
      <c r="F172" s="234">
        <f t="shared" si="2"/>
        <v>0</v>
      </c>
    </row>
    <row r="173" spans="1:6" x14ac:dyDescent="0.25">
      <c r="A173" s="226">
        <v>15600</v>
      </c>
      <c r="B173" s="226" t="s">
        <v>1246</v>
      </c>
      <c r="C173" s="228"/>
      <c r="D173" s="241">
        <v>36.799999999999997</v>
      </c>
      <c r="E173" s="226" t="s">
        <v>1047</v>
      </c>
      <c r="F173" s="234">
        <f t="shared" si="2"/>
        <v>0</v>
      </c>
    </row>
    <row r="174" spans="1:6" x14ac:dyDescent="0.25">
      <c r="A174" s="226">
        <v>15610</v>
      </c>
      <c r="B174" s="226" t="s">
        <v>1247</v>
      </c>
      <c r="C174" s="228"/>
      <c r="D174" s="241">
        <v>55.19</v>
      </c>
      <c r="E174" s="226" t="s">
        <v>1047</v>
      </c>
      <c r="F174" s="234">
        <f t="shared" si="2"/>
        <v>0</v>
      </c>
    </row>
    <row r="175" spans="1:6" x14ac:dyDescent="0.25">
      <c r="A175" s="226">
        <v>15620</v>
      </c>
      <c r="B175" s="226" t="s">
        <v>1245</v>
      </c>
      <c r="C175" s="228"/>
      <c r="D175" s="241">
        <v>58.71</v>
      </c>
      <c r="E175" s="226" t="s">
        <v>1047</v>
      </c>
      <c r="F175" s="234">
        <f t="shared" si="2"/>
        <v>0</v>
      </c>
    </row>
    <row r="176" spans="1:6" x14ac:dyDescent="0.25">
      <c r="A176" s="226">
        <v>15700</v>
      </c>
      <c r="B176" s="226" t="s">
        <v>1233</v>
      </c>
      <c r="C176" s="228"/>
      <c r="D176" s="241">
        <v>174</v>
      </c>
      <c r="E176" s="226" t="s">
        <v>1047</v>
      </c>
      <c r="F176" s="234">
        <f t="shared" si="2"/>
        <v>0</v>
      </c>
    </row>
    <row r="177" spans="1:6" x14ac:dyDescent="0.25">
      <c r="A177" s="226">
        <v>15710</v>
      </c>
      <c r="B177" s="226" t="s">
        <v>1234</v>
      </c>
      <c r="C177" s="228"/>
      <c r="D177" s="241">
        <v>178</v>
      </c>
      <c r="E177" s="226" t="s">
        <v>1047</v>
      </c>
      <c r="F177" s="234">
        <f t="shared" si="2"/>
        <v>0</v>
      </c>
    </row>
    <row r="178" spans="1:6" x14ac:dyDescent="0.25">
      <c r="A178" s="226">
        <v>15720</v>
      </c>
      <c r="B178" s="226" t="s">
        <v>1235</v>
      </c>
      <c r="C178" s="228"/>
      <c r="D178" s="241">
        <v>196</v>
      </c>
      <c r="E178" s="226" t="s">
        <v>1047</v>
      </c>
      <c r="F178" s="234">
        <f t="shared" si="2"/>
        <v>0</v>
      </c>
    </row>
    <row r="179" spans="1:6" x14ac:dyDescent="0.25">
      <c r="A179" s="226">
        <v>15730</v>
      </c>
      <c r="B179" s="226" t="s">
        <v>1236</v>
      </c>
      <c r="C179" s="228"/>
      <c r="D179" s="241">
        <v>200</v>
      </c>
      <c r="E179" s="226" t="s">
        <v>1047</v>
      </c>
      <c r="F179" s="234">
        <f t="shared" si="2"/>
        <v>0</v>
      </c>
    </row>
    <row r="180" spans="1:6" x14ac:dyDescent="0.25">
      <c r="A180" s="226">
        <v>15740</v>
      </c>
      <c r="B180" s="226" t="s">
        <v>1237</v>
      </c>
      <c r="C180" s="228"/>
      <c r="D180" s="241">
        <v>221</v>
      </c>
      <c r="E180" s="226" t="s">
        <v>1047</v>
      </c>
      <c r="F180" s="234">
        <f t="shared" si="2"/>
        <v>0</v>
      </c>
    </row>
    <row r="181" spans="1:6" x14ac:dyDescent="0.25">
      <c r="A181" s="226">
        <v>15750</v>
      </c>
      <c r="B181" s="226" t="s">
        <v>1238</v>
      </c>
      <c r="C181" s="228"/>
      <c r="D181" s="241">
        <v>225</v>
      </c>
      <c r="E181" s="226" t="s">
        <v>1047</v>
      </c>
      <c r="F181" s="234">
        <f t="shared" si="2"/>
        <v>0</v>
      </c>
    </row>
    <row r="182" spans="1:6" x14ac:dyDescent="0.25">
      <c r="A182" s="226">
        <v>15760</v>
      </c>
      <c r="B182" s="226" t="s">
        <v>1239</v>
      </c>
      <c r="C182" s="228"/>
      <c r="D182" s="241">
        <v>248</v>
      </c>
      <c r="E182" s="226" t="s">
        <v>1047</v>
      </c>
      <c r="F182" s="234">
        <f t="shared" si="2"/>
        <v>0</v>
      </c>
    </row>
    <row r="183" spans="1:6" x14ac:dyDescent="0.25">
      <c r="A183" s="226">
        <v>15770</v>
      </c>
      <c r="B183" s="226" t="s">
        <v>1240</v>
      </c>
      <c r="C183" s="228"/>
      <c r="D183" s="241">
        <v>259</v>
      </c>
      <c r="E183" s="226" t="s">
        <v>1047</v>
      </c>
      <c r="F183" s="234">
        <f t="shared" si="2"/>
        <v>0</v>
      </c>
    </row>
    <row r="184" spans="1:6" x14ac:dyDescent="0.25">
      <c r="A184" s="226">
        <v>15780</v>
      </c>
      <c r="B184" s="226" t="s">
        <v>1241</v>
      </c>
      <c r="C184" s="228"/>
      <c r="D184" s="241">
        <v>327</v>
      </c>
      <c r="E184" s="226" t="s">
        <v>1047</v>
      </c>
      <c r="F184" s="234">
        <f t="shared" si="2"/>
        <v>0</v>
      </c>
    </row>
    <row r="185" spans="1:6" x14ac:dyDescent="0.25">
      <c r="A185" s="226">
        <v>15790</v>
      </c>
      <c r="B185" s="226" t="s">
        <v>1242</v>
      </c>
      <c r="C185" s="228"/>
      <c r="D185" s="241">
        <v>337</v>
      </c>
      <c r="E185" s="226" t="s">
        <v>1047</v>
      </c>
      <c r="F185" s="234">
        <f t="shared" si="2"/>
        <v>0</v>
      </c>
    </row>
    <row r="186" spans="1:6" x14ac:dyDescent="0.25">
      <c r="A186" s="226">
        <v>15795</v>
      </c>
      <c r="B186" s="226" t="s">
        <v>1243</v>
      </c>
      <c r="C186" s="228"/>
      <c r="D186" s="241">
        <v>343</v>
      </c>
      <c r="E186" s="226" t="s">
        <v>1047</v>
      </c>
      <c r="F186" s="234">
        <f t="shared" si="2"/>
        <v>0</v>
      </c>
    </row>
    <row r="187" spans="1:6" x14ac:dyDescent="0.25">
      <c r="A187" s="226">
        <v>15800</v>
      </c>
      <c r="B187" s="226" t="s">
        <v>1219</v>
      </c>
      <c r="C187" s="228"/>
      <c r="D187" s="241">
        <v>186</v>
      </c>
      <c r="E187" s="226" t="s">
        <v>1047</v>
      </c>
      <c r="F187" s="234">
        <f t="shared" si="2"/>
        <v>0</v>
      </c>
    </row>
    <row r="188" spans="1:6" x14ac:dyDescent="0.25">
      <c r="A188" s="226">
        <v>15810</v>
      </c>
      <c r="B188" s="226" t="s">
        <v>1220</v>
      </c>
      <c r="C188" s="228"/>
      <c r="D188" s="241">
        <v>209</v>
      </c>
      <c r="E188" s="226" t="s">
        <v>1047</v>
      </c>
      <c r="F188" s="234">
        <f t="shared" si="2"/>
        <v>0</v>
      </c>
    </row>
    <row r="189" spans="1:6" x14ac:dyDescent="0.25">
      <c r="A189" s="226">
        <v>15820</v>
      </c>
      <c r="B189" s="226" t="s">
        <v>1221</v>
      </c>
      <c r="C189" s="228"/>
      <c r="D189" s="241">
        <v>213</v>
      </c>
      <c r="E189" s="226" t="s">
        <v>1047</v>
      </c>
      <c r="F189" s="234">
        <f t="shared" si="2"/>
        <v>0</v>
      </c>
    </row>
    <row r="190" spans="1:6" x14ac:dyDescent="0.25">
      <c r="A190" s="226">
        <v>15830</v>
      </c>
      <c r="B190" s="226" t="s">
        <v>1222</v>
      </c>
      <c r="C190" s="228"/>
      <c r="D190" s="241">
        <v>257</v>
      </c>
      <c r="E190" s="226" t="s">
        <v>1047</v>
      </c>
      <c r="F190" s="234">
        <f t="shared" si="2"/>
        <v>0</v>
      </c>
    </row>
    <row r="191" spans="1:6" x14ac:dyDescent="0.25">
      <c r="A191" s="226">
        <v>15840</v>
      </c>
      <c r="B191" s="226" t="s">
        <v>1223</v>
      </c>
      <c r="C191" s="228"/>
      <c r="D191" s="241">
        <v>254</v>
      </c>
      <c r="E191" s="226" t="s">
        <v>1047</v>
      </c>
      <c r="F191" s="234">
        <f t="shared" si="2"/>
        <v>0</v>
      </c>
    </row>
    <row r="192" spans="1:6" x14ac:dyDescent="0.25">
      <c r="A192" s="226">
        <v>15850</v>
      </c>
      <c r="B192" s="226" t="s">
        <v>1224</v>
      </c>
      <c r="C192" s="229"/>
      <c r="D192" s="241">
        <v>259</v>
      </c>
      <c r="E192" s="226" t="s">
        <v>1047</v>
      </c>
      <c r="F192" s="234">
        <f t="shared" si="2"/>
        <v>0</v>
      </c>
    </row>
    <row r="193" spans="1:6" x14ac:dyDescent="0.25">
      <c r="A193" s="226">
        <v>15860</v>
      </c>
      <c r="B193" s="226" t="s">
        <v>1225</v>
      </c>
      <c r="C193" s="228"/>
      <c r="D193" s="241">
        <v>270</v>
      </c>
      <c r="E193" s="226" t="s">
        <v>1047</v>
      </c>
      <c r="F193" s="234">
        <f t="shared" si="2"/>
        <v>0</v>
      </c>
    </row>
    <row r="194" spans="1:6" x14ac:dyDescent="0.25">
      <c r="A194" s="226">
        <v>15870</v>
      </c>
      <c r="B194" s="226" t="s">
        <v>1226</v>
      </c>
      <c r="C194" s="228"/>
      <c r="D194" s="241">
        <v>275</v>
      </c>
      <c r="E194" s="226" t="s">
        <v>1047</v>
      </c>
      <c r="F194" s="234">
        <f t="shared" si="2"/>
        <v>0</v>
      </c>
    </row>
    <row r="195" spans="1:6" x14ac:dyDescent="0.25">
      <c r="A195" s="226">
        <v>15880</v>
      </c>
      <c r="B195" s="226" t="s">
        <v>1227</v>
      </c>
      <c r="C195" s="228"/>
      <c r="D195" s="241">
        <v>315</v>
      </c>
      <c r="E195" s="226" t="s">
        <v>1047</v>
      </c>
      <c r="F195" s="234">
        <f t="shared" si="2"/>
        <v>0</v>
      </c>
    </row>
    <row r="196" spans="1:6" x14ac:dyDescent="0.25">
      <c r="A196" s="226">
        <v>15890</v>
      </c>
      <c r="B196" s="226" t="s">
        <v>1228</v>
      </c>
      <c r="C196" s="228"/>
      <c r="D196" s="241">
        <v>338</v>
      </c>
      <c r="E196" s="226" t="s">
        <v>1047</v>
      </c>
      <c r="F196" s="234">
        <f t="shared" si="2"/>
        <v>0</v>
      </c>
    </row>
    <row r="197" spans="1:6" x14ac:dyDescent="0.25">
      <c r="A197" s="226">
        <v>15900</v>
      </c>
      <c r="B197" s="226" t="s">
        <v>1229</v>
      </c>
      <c r="C197" s="228"/>
      <c r="D197" s="241">
        <v>315</v>
      </c>
      <c r="E197" s="226" t="s">
        <v>1047</v>
      </c>
      <c r="F197" s="234">
        <f t="shared" si="2"/>
        <v>0</v>
      </c>
    </row>
    <row r="198" spans="1:6" x14ac:dyDescent="0.25">
      <c r="A198" s="226">
        <v>15910</v>
      </c>
      <c r="B198" s="226" t="s">
        <v>1230</v>
      </c>
      <c r="C198" s="228"/>
      <c r="D198" s="241">
        <v>326</v>
      </c>
      <c r="E198" s="226" t="s">
        <v>1047</v>
      </c>
      <c r="F198" s="234">
        <f t="shared" si="2"/>
        <v>0</v>
      </c>
    </row>
    <row r="199" spans="1:6" x14ac:dyDescent="0.25">
      <c r="A199" s="226">
        <v>15920</v>
      </c>
      <c r="B199" s="226" t="s">
        <v>1232</v>
      </c>
      <c r="C199" s="228"/>
      <c r="D199" s="241">
        <v>360</v>
      </c>
      <c r="E199" s="226" t="s">
        <v>1047</v>
      </c>
      <c r="F199" s="234">
        <f t="shared" si="2"/>
        <v>0</v>
      </c>
    </row>
    <row r="200" spans="1:6" x14ac:dyDescent="0.25">
      <c r="A200" s="226">
        <v>15930</v>
      </c>
      <c r="B200" s="226" t="s">
        <v>1231</v>
      </c>
      <c r="C200" s="228"/>
      <c r="D200" s="241">
        <v>394</v>
      </c>
      <c r="E200" s="226" t="s">
        <v>1047</v>
      </c>
      <c r="F200" s="234">
        <f t="shared" si="2"/>
        <v>0</v>
      </c>
    </row>
    <row r="201" spans="1:6" x14ac:dyDescent="0.25">
      <c r="A201" s="226">
        <v>17000</v>
      </c>
      <c r="B201" s="226" t="s">
        <v>1262</v>
      </c>
      <c r="C201" s="228"/>
      <c r="D201" s="241">
        <v>2037.6</v>
      </c>
      <c r="E201" s="226" t="s">
        <v>1047</v>
      </c>
      <c r="F201" s="234">
        <f t="shared" si="2"/>
        <v>0</v>
      </c>
    </row>
    <row r="202" spans="1:6" x14ac:dyDescent="0.25">
      <c r="A202" s="226">
        <v>17010</v>
      </c>
      <c r="B202" s="226" t="s">
        <v>1261</v>
      </c>
      <c r="C202" s="228"/>
      <c r="D202" s="241">
        <v>1062.5999999999999</v>
      </c>
      <c r="E202" s="226" t="s">
        <v>1047</v>
      </c>
      <c r="F202" s="234">
        <f t="shared" si="2"/>
        <v>0</v>
      </c>
    </row>
    <row r="203" spans="1:6" x14ac:dyDescent="0.25">
      <c r="A203" s="226">
        <v>17020</v>
      </c>
      <c r="B203" s="226" t="s">
        <v>1263</v>
      </c>
      <c r="C203" s="229"/>
      <c r="D203" s="241">
        <v>184.8</v>
      </c>
      <c r="E203" s="226" t="s">
        <v>1047</v>
      </c>
      <c r="F203" s="234">
        <f t="shared" si="2"/>
        <v>0</v>
      </c>
    </row>
    <row r="204" spans="1:6" x14ac:dyDescent="0.25">
      <c r="A204" s="226">
        <v>17030</v>
      </c>
      <c r="B204" s="226" t="s">
        <v>1288</v>
      </c>
      <c r="C204" s="228"/>
      <c r="D204" s="241">
        <v>859</v>
      </c>
      <c r="E204" s="226" t="s">
        <v>1047</v>
      </c>
      <c r="F204" s="234">
        <f t="shared" ref="F204:F267" si="3">C204*D204</f>
        <v>0</v>
      </c>
    </row>
    <row r="205" spans="1:6" x14ac:dyDescent="0.25">
      <c r="A205" s="226">
        <v>17040</v>
      </c>
      <c r="B205" s="226" t="s">
        <v>1287</v>
      </c>
      <c r="C205" s="228"/>
      <c r="D205" s="241">
        <v>452</v>
      </c>
      <c r="E205" s="226" t="s">
        <v>1047</v>
      </c>
      <c r="F205" s="234">
        <f t="shared" si="3"/>
        <v>0</v>
      </c>
    </row>
    <row r="206" spans="1:6" x14ac:dyDescent="0.25">
      <c r="A206" s="226">
        <v>17050</v>
      </c>
      <c r="B206" s="226" t="s">
        <v>1286</v>
      </c>
      <c r="C206" s="228"/>
      <c r="D206" s="241">
        <v>512.32000000000005</v>
      </c>
      <c r="E206" s="226" t="s">
        <v>1047</v>
      </c>
      <c r="F206" s="234">
        <f t="shared" si="3"/>
        <v>0</v>
      </c>
    </row>
    <row r="207" spans="1:6" x14ac:dyDescent="0.25">
      <c r="A207" s="226">
        <v>17060</v>
      </c>
      <c r="B207" s="226" t="s">
        <v>1289</v>
      </c>
      <c r="C207" s="228"/>
      <c r="D207" s="241">
        <v>465</v>
      </c>
      <c r="E207" s="226" t="s">
        <v>1047</v>
      </c>
      <c r="F207" s="234">
        <f t="shared" si="3"/>
        <v>0</v>
      </c>
    </row>
    <row r="208" spans="1:6" x14ac:dyDescent="0.25">
      <c r="A208" s="226">
        <v>17070</v>
      </c>
      <c r="B208" s="226" t="s">
        <v>1291</v>
      </c>
      <c r="C208" s="228"/>
      <c r="D208" s="241">
        <v>895.02</v>
      </c>
      <c r="E208" s="226" t="s">
        <v>1047</v>
      </c>
      <c r="F208" s="234">
        <f t="shared" si="3"/>
        <v>0</v>
      </c>
    </row>
    <row r="209" spans="1:6" x14ac:dyDescent="0.25">
      <c r="A209" s="226">
        <v>17080</v>
      </c>
      <c r="B209" s="226" t="s">
        <v>1290</v>
      </c>
      <c r="C209" s="228"/>
      <c r="D209" s="241">
        <v>597.66999999999996</v>
      </c>
      <c r="E209" s="226" t="s">
        <v>1047</v>
      </c>
      <c r="F209" s="234">
        <f t="shared" si="3"/>
        <v>0</v>
      </c>
    </row>
    <row r="210" spans="1:6" x14ac:dyDescent="0.25">
      <c r="A210" s="226">
        <v>17090</v>
      </c>
      <c r="B210" s="226" t="s">
        <v>1285</v>
      </c>
      <c r="C210" s="228"/>
      <c r="D210" s="241">
        <v>248.47</v>
      </c>
      <c r="E210" s="226" t="s">
        <v>1047</v>
      </c>
      <c r="F210" s="234">
        <f t="shared" si="3"/>
        <v>0</v>
      </c>
    </row>
    <row r="211" spans="1:6" x14ac:dyDescent="0.25">
      <c r="A211" s="226">
        <v>17100</v>
      </c>
      <c r="B211" s="226" t="s">
        <v>1725</v>
      </c>
      <c r="C211" s="228"/>
      <c r="D211" s="241">
        <v>264</v>
      </c>
      <c r="E211" s="226" t="s">
        <v>1047</v>
      </c>
      <c r="F211" s="234">
        <f t="shared" si="3"/>
        <v>0</v>
      </c>
    </row>
    <row r="212" spans="1:6" x14ac:dyDescent="0.25">
      <c r="A212" s="226">
        <v>17110</v>
      </c>
      <c r="B212" s="226" t="s">
        <v>1733</v>
      </c>
      <c r="C212" s="228"/>
      <c r="D212" s="241">
        <v>157.4</v>
      </c>
      <c r="E212" s="226" t="s">
        <v>1047</v>
      </c>
      <c r="F212" s="234">
        <f t="shared" si="3"/>
        <v>0</v>
      </c>
    </row>
    <row r="213" spans="1:6" x14ac:dyDescent="0.25">
      <c r="A213" s="226">
        <v>17120</v>
      </c>
      <c r="B213" s="226" t="s">
        <v>1244</v>
      </c>
      <c r="C213" s="228"/>
      <c r="D213" s="241">
        <v>40.049999999999997</v>
      </c>
      <c r="E213" s="226" t="s">
        <v>1047</v>
      </c>
      <c r="F213" s="234">
        <f t="shared" si="3"/>
        <v>0</v>
      </c>
    </row>
    <row r="214" spans="1:6" x14ac:dyDescent="0.25">
      <c r="A214" s="226">
        <v>17200</v>
      </c>
      <c r="B214" s="226" t="s">
        <v>1786</v>
      </c>
      <c r="C214" s="229">
        <v>2</v>
      </c>
      <c r="D214" s="241">
        <v>45.44</v>
      </c>
      <c r="E214" s="226" t="s">
        <v>1047</v>
      </c>
      <c r="F214" s="234">
        <f t="shared" si="3"/>
        <v>90.88</v>
      </c>
    </row>
    <row r="215" spans="1:6" x14ac:dyDescent="0.25">
      <c r="A215" s="226">
        <v>17210</v>
      </c>
      <c r="B215" s="226" t="s">
        <v>1773</v>
      </c>
      <c r="C215" s="229"/>
      <c r="D215" s="241">
        <v>3.85</v>
      </c>
      <c r="E215" s="226" t="s">
        <v>1047</v>
      </c>
      <c r="F215" s="234">
        <f t="shared" si="3"/>
        <v>0</v>
      </c>
    </row>
    <row r="216" spans="1:6" x14ac:dyDescent="0.25">
      <c r="A216" s="226">
        <v>17220</v>
      </c>
      <c r="B216" s="226" t="s">
        <v>1787</v>
      </c>
      <c r="C216" s="229">
        <v>2</v>
      </c>
      <c r="D216" s="241">
        <v>4.2</v>
      </c>
      <c r="E216" s="226" t="s">
        <v>1047</v>
      </c>
      <c r="F216" s="234">
        <f t="shared" si="3"/>
        <v>8.4</v>
      </c>
    </row>
    <row r="217" spans="1:6" x14ac:dyDescent="0.25">
      <c r="A217" s="221">
        <v>17230</v>
      </c>
      <c r="B217" s="226" t="s">
        <v>1774</v>
      </c>
      <c r="C217" s="228"/>
      <c r="D217" s="241">
        <v>3.25</v>
      </c>
      <c r="E217" s="226" t="s">
        <v>1047</v>
      </c>
      <c r="F217" s="234">
        <f t="shared" si="3"/>
        <v>0</v>
      </c>
    </row>
    <row r="218" spans="1:6" x14ac:dyDescent="0.25">
      <c r="A218" s="230">
        <v>17500</v>
      </c>
      <c r="B218" s="236" t="s">
        <v>667</v>
      </c>
      <c r="C218" s="228"/>
      <c r="D218" s="241">
        <v>47.93</v>
      </c>
      <c r="E218" s="226" t="s">
        <v>1047</v>
      </c>
      <c r="F218" s="234">
        <f t="shared" si="3"/>
        <v>0</v>
      </c>
    </row>
    <row r="219" spans="1:6" x14ac:dyDescent="0.25">
      <c r="A219" s="230">
        <v>17510</v>
      </c>
      <c r="B219" s="236" t="s">
        <v>668</v>
      </c>
      <c r="C219" s="228">
        <v>4</v>
      </c>
      <c r="D219" s="241">
        <v>32.950000000000003</v>
      </c>
      <c r="E219" s="226" t="s">
        <v>1047</v>
      </c>
      <c r="F219" s="234">
        <f t="shared" si="3"/>
        <v>131.80000000000001</v>
      </c>
    </row>
    <row r="220" spans="1:6" x14ac:dyDescent="0.25">
      <c r="A220" s="230">
        <v>17520</v>
      </c>
      <c r="B220" s="236" t="s">
        <v>669</v>
      </c>
      <c r="C220" s="228"/>
      <c r="D220" s="241"/>
      <c r="E220" s="226" t="s">
        <v>1047</v>
      </c>
      <c r="F220" s="234">
        <f t="shared" si="3"/>
        <v>0</v>
      </c>
    </row>
    <row r="221" spans="1:6" x14ac:dyDescent="0.25">
      <c r="A221" s="230">
        <v>17600</v>
      </c>
      <c r="B221" s="230" t="s">
        <v>604</v>
      </c>
      <c r="C221" s="228"/>
      <c r="D221" s="241">
        <v>35.75</v>
      </c>
      <c r="E221" s="226" t="s">
        <v>1047</v>
      </c>
      <c r="F221" s="234">
        <f t="shared" si="3"/>
        <v>0</v>
      </c>
    </row>
    <row r="222" spans="1:6" x14ac:dyDescent="0.25">
      <c r="A222" s="230">
        <v>17610</v>
      </c>
      <c r="B222" s="230" t="s">
        <v>605</v>
      </c>
      <c r="C222" s="228"/>
      <c r="D222" s="241">
        <v>36.380000000000003</v>
      </c>
      <c r="E222" s="226" t="s">
        <v>1047</v>
      </c>
      <c r="F222" s="234">
        <f t="shared" si="3"/>
        <v>0</v>
      </c>
    </row>
    <row r="223" spans="1:6" x14ac:dyDescent="0.25">
      <c r="A223" s="230">
        <v>17620</v>
      </c>
      <c r="B223" s="230" t="s">
        <v>366</v>
      </c>
      <c r="C223" s="228"/>
      <c r="D223" s="241"/>
      <c r="E223" s="226" t="s">
        <v>1047</v>
      </c>
      <c r="F223" s="234">
        <f t="shared" si="3"/>
        <v>0</v>
      </c>
    </row>
    <row r="224" spans="1:6" x14ac:dyDescent="0.25">
      <c r="A224" s="230">
        <v>17630</v>
      </c>
      <c r="B224" s="230" t="s">
        <v>367</v>
      </c>
      <c r="C224" s="228"/>
      <c r="D224" s="241">
        <v>48.62</v>
      </c>
      <c r="E224" s="226" t="s">
        <v>1047</v>
      </c>
      <c r="F224" s="234">
        <f t="shared" si="3"/>
        <v>0</v>
      </c>
    </row>
    <row r="225" spans="1:6" x14ac:dyDescent="0.25">
      <c r="A225" s="230">
        <v>17640</v>
      </c>
      <c r="B225" s="230" t="s">
        <v>368</v>
      </c>
      <c r="C225" s="229"/>
      <c r="D225" s="241"/>
      <c r="E225" s="226" t="s">
        <v>1047</v>
      </c>
      <c r="F225" s="234">
        <f t="shared" si="3"/>
        <v>0</v>
      </c>
    </row>
    <row r="226" spans="1:6" x14ac:dyDescent="0.25">
      <c r="A226" s="230">
        <v>17650</v>
      </c>
      <c r="B226" s="230" t="s">
        <v>606</v>
      </c>
      <c r="C226" s="229"/>
      <c r="D226" s="241">
        <v>61.95</v>
      </c>
      <c r="E226" s="226" t="s">
        <v>1047</v>
      </c>
      <c r="F226" s="234">
        <f t="shared" si="3"/>
        <v>0</v>
      </c>
    </row>
    <row r="227" spans="1:6" x14ac:dyDescent="0.25">
      <c r="A227" s="230">
        <v>17660</v>
      </c>
      <c r="B227" s="230" t="s">
        <v>369</v>
      </c>
      <c r="C227" s="228">
        <v>2</v>
      </c>
      <c r="D227" s="241">
        <v>65.540000000000006</v>
      </c>
      <c r="E227" s="226" t="s">
        <v>1047</v>
      </c>
      <c r="F227" s="234">
        <f t="shared" si="3"/>
        <v>131.08000000000001</v>
      </c>
    </row>
    <row r="228" spans="1:6" x14ac:dyDescent="0.25">
      <c r="A228" s="230">
        <v>17670</v>
      </c>
      <c r="B228" s="230" t="s">
        <v>603</v>
      </c>
      <c r="C228" s="228">
        <v>3</v>
      </c>
      <c r="D228" s="241">
        <v>9</v>
      </c>
      <c r="E228" s="226" t="s">
        <v>1047</v>
      </c>
      <c r="F228" s="234">
        <f t="shared" si="3"/>
        <v>27</v>
      </c>
    </row>
    <row r="229" spans="1:6" x14ac:dyDescent="0.25">
      <c r="A229" s="226">
        <v>18000</v>
      </c>
      <c r="B229" s="226" t="s">
        <v>1388</v>
      </c>
      <c r="C229" s="229"/>
      <c r="D229" s="241">
        <v>44.68</v>
      </c>
      <c r="E229" s="226" t="s">
        <v>1047</v>
      </c>
      <c r="F229" s="234">
        <f t="shared" si="3"/>
        <v>0</v>
      </c>
    </row>
    <row r="230" spans="1:6" x14ac:dyDescent="0.25">
      <c r="A230" s="226">
        <v>18010</v>
      </c>
      <c r="B230" s="226" t="s">
        <v>1389</v>
      </c>
      <c r="C230" s="228"/>
      <c r="D230" s="241">
        <v>36.76</v>
      </c>
      <c r="E230" s="226" t="s">
        <v>1047</v>
      </c>
      <c r="F230" s="234">
        <f t="shared" si="3"/>
        <v>0</v>
      </c>
    </row>
    <row r="231" spans="1:6" x14ac:dyDescent="0.25">
      <c r="A231" s="226">
        <v>18020</v>
      </c>
      <c r="B231" s="226" t="s">
        <v>1390</v>
      </c>
      <c r="C231" s="228"/>
      <c r="D231" s="241">
        <v>59.87</v>
      </c>
      <c r="E231" s="226" t="s">
        <v>1047</v>
      </c>
      <c r="F231" s="234">
        <f t="shared" si="3"/>
        <v>0</v>
      </c>
    </row>
    <row r="232" spans="1:6" x14ac:dyDescent="0.25">
      <c r="A232" s="226">
        <v>18030</v>
      </c>
      <c r="B232" s="230" t="s">
        <v>374</v>
      </c>
      <c r="C232" s="228"/>
      <c r="D232" s="241">
        <v>31.08</v>
      </c>
      <c r="E232" s="226" t="s">
        <v>1047</v>
      </c>
      <c r="F232" s="234">
        <f t="shared" si="3"/>
        <v>0</v>
      </c>
    </row>
    <row r="233" spans="1:6" x14ac:dyDescent="0.25">
      <c r="A233" s="226">
        <v>18040</v>
      </c>
      <c r="B233" s="230" t="s">
        <v>845</v>
      </c>
      <c r="C233" s="228"/>
      <c r="D233" s="241">
        <v>30</v>
      </c>
      <c r="E233" s="226" t="s">
        <v>1047</v>
      </c>
      <c r="F233" s="234">
        <f t="shared" si="3"/>
        <v>0</v>
      </c>
    </row>
    <row r="234" spans="1:6" x14ac:dyDescent="0.25">
      <c r="A234" s="226">
        <v>18050</v>
      </c>
      <c r="B234" s="230" t="s">
        <v>375</v>
      </c>
      <c r="C234" s="229"/>
      <c r="D234" s="241">
        <v>62.16</v>
      </c>
      <c r="E234" s="226" t="s">
        <v>1047</v>
      </c>
      <c r="F234" s="234">
        <f t="shared" si="3"/>
        <v>0</v>
      </c>
    </row>
    <row r="235" spans="1:6" x14ac:dyDescent="0.25">
      <c r="A235" s="226">
        <v>18060</v>
      </c>
      <c r="B235" s="230" t="s">
        <v>376</v>
      </c>
      <c r="C235" s="229"/>
      <c r="D235" s="241">
        <v>33.46</v>
      </c>
      <c r="E235" s="226" t="s">
        <v>1047</v>
      </c>
      <c r="F235" s="234">
        <f t="shared" si="3"/>
        <v>0</v>
      </c>
    </row>
    <row r="236" spans="1:6" x14ac:dyDescent="0.25">
      <c r="A236" s="226">
        <v>18070</v>
      </c>
      <c r="B236" s="230" t="s">
        <v>846</v>
      </c>
      <c r="C236" s="229"/>
      <c r="D236" s="241">
        <v>32</v>
      </c>
      <c r="E236" s="226" t="s">
        <v>1047</v>
      </c>
      <c r="F236" s="234">
        <f t="shared" si="3"/>
        <v>0</v>
      </c>
    </row>
    <row r="237" spans="1:6" x14ac:dyDescent="0.25">
      <c r="A237" s="226">
        <v>18080</v>
      </c>
      <c r="B237" s="230" t="s">
        <v>377</v>
      </c>
      <c r="C237" s="229"/>
      <c r="D237" s="241">
        <v>62.58</v>
      </c>
      <c r="E237" s="226" t="s">
        <v>1047</v>
      </c>
      <c r="F237" s="234">
        <f t="shared" si="3"/>
        <v>0</v>
      </c>
    </row>
    <row r="238" spans="1:6" x14ac:dyDescent="0.25">
      <c r="A238" s="226">
        <v>18090</v>
      </c>
      <c r="B238" s="226" t="s">
        <v>1897</v>
      </c>
      <c r="C238" s="228">
        <v>1</v>
      </c>
      <c r="D238" s="241">
        <v>42</v>
      </c>
      <c r="E238" s="226" t="s">
        <v>1047</v>
      </c>
      <c r="F238" s="234">
        <f t="shared" si="3"/>
        <v>42</v>
      </c>
    </row>
    <row r="239" spans="1:6" x14ac:dyDescent="0.25">
      <c r="A239" s="226">
        <v>18100</v>
      </c>
      <c r="B239" s="226" t="s">
        <v>1404</v>
      </c>
      <c r="C239" s="228"/>
      <c r="D239" s="241">
        <v>38.799999999999997</v>
      </c>
      <c r="E239" s="226" t="s">
        <v>1047</v>
      </c>
      <c r="F239" s="234">
        <f t="shared" si="3"/>
        <v>0</v>
      </c>
    </row>
    <row r="240" spans="1:6" x14ac:dyDescent="0.25">
      <c r="A240" s="226">
        <v>18110</v>
      </c>
      <c r="B240" s="226" t="s">
        <v>1898</v>
      </c>
      <c r="C240" s="229">
        <v>2</v>
      </c>
      <c r="D240" s="241">
        <v>53.94</v>
      </c>
      <c r="E240" s="226" t="s">
        <v>1047</v>
      </c>
      <c r="F240" s="234">
        <f t="shared" si="3"/>
        <v>107.88</v>
      </c>
    </row>
    <row r="241" spans="1:6" x14ac:dyDescent="0.25">
      <c r="A241" s="226">
        <v>18120</v>
      </c>
      <c r="B241" s="226" t="s">
        <v>1415</v>
      </c>
      <c r="C241" s="228"/>
      <c r="D241" s="241">
        <v>47.97</v>
      </c>
      <c r="E241" s="226" t="s">
        <v>1047</v>
      </c>
      <c r="F241" s="234">
        <f t="shared" si="3"/>
        <v>0</v>
      </c>
    </row>
    <row r="242" spans="1:6" x14ac:dyDescent="0.25">
      <c r="A242" s="226">
        <v>18130</v>
      </c>
      <c r="B242" s="226" t="s">
        <v>1416</v>
      </c>
      <c r="C242" s="228"/>
      <c r="D242" s="241">
        <v>40.020000000000003</v>
      </c>
      <c r="E242" s="226" t="s">
        <v>1047</v>
      </c>
      <c r="F242" s="234">
        <f t="shared" si="3"/>
        <v>0</v>
      </c>
    </row>
    <row r="243" spans="1:6" x14ac:dyDescent="0.25">
      <c r="A243" s="226">
        <v>18140</v>
      </c>
      <c r="B243" s="226" t="s">
        <v>1417</v>
      </c>
      <c r="C243" s="228"/>
      <c r="D243" s="241">
        <v>66.39</v>
      </c>
      <c r="E243" s="226" t="s">
        <v>1047</v>
      </c>
      <c r="F243" s="234">
        <f t="shared" si="3"/>
        <v>0</v>
      </c>
    </row>
    <row r="244" spans="1:6" x14ac:dyDescent="0.25">
      <c r="A244" s="226">
        <v>18150</v>
      </c>
      <c r="B244" s="230" t="s">
        <v>378</v>
      </c>
      <c r="C244" s="228"/>
      <c r="D244" s="241">
        <v>35.270000000000003</v>
      </c>
      <c r="E244" s="226" t="s">
        <v>1047</v>
      </c>
      <c r="F244" s="234">
        <f t="shared" si="3"/>
        <v>0</v>
      </c>
    </row>
    <row r="245" spans="1:6" x14ac:dyDescent="0.25">
      <c r="A245" s="226">
        <v>18160</v>
      </c>
      <c r="B245" s="230" t="s">
        <v>849</v>
      </c>
      <c r="C245" s="229"/>
      <c r="D245" s="241">
        <v>34</v>
      </c>
      <c r="E245" s="226" t="s">
        <v>1047</v>
      </c>
      <c r="F245" s="234">
        <f t="shared" si="3"/>
        <v>0</v>
      </c>
    </row>
    <row r="246" spans="1:6" x14ac:dyDescent="0.25">
      <c r="A246" s="226">
        <v>18170</v>
      </c>
      <c r="B246" s="230" t="s">
        <v>379</v>
      </c>
      <c r="C246" s="228"/>
      <c r="D246" s="241">
        <v>70.47</v>
      </c>
      <c r="E246" s="226" t="s">
        <v>1047</v>
      </c>
      <c r="F246" s="234">
        <f t="shared" si="3"/>
        <v>0</v>
      </c>
    </row>
    <row r="247" spans="1:6" x14ac:dyDescent="0.25">
      <c r="A247" s="226">
        <v>18180</v>
      </c>
      <c r="B247" s="226" t="s">
        <v>1421</v>
      </c>
      <c r="C247" s="229">
        <v>2</v>
      </c>
      <c r="D247" s="241">
        <v>50.18</v>
      </c>
      <c r="E247" s="226" t="s">
        <v>1047</v>
      </c>
      <c r="F247" s="234">
        <f t="shared" si="3"/>
        <v>100.36</v>
      </c>
    </row>
    <row r="248" spans="1:6" x14ac:dyDescent="0.25">
      <c r="A248" s="226">
        <v>18190</v>
      </c>
      <c r="B248" s="226" t="s">
        <v>1772</v>
      </c>
      <c r="C248" s="229">
        <v>2</v>
      </c>
      <c r="D248" s="241">
        <v>41.51</v>
      </c>
      <c r="E248" s="226" t="s">
        <v>1047</v>
      </c>
      <c r="F248" s="234">
        <f t="shared" si="3"/>
        <v>83.02</v>
      </c>
    </row>
    <row r="249" spans="1:6" x14ac:dyDescent="0.25">
      <c r="A249" s="226">
        <v>18200</v>
      </c>
      <c r="B249" s="226" t="s">
        <v>1423</v>
      </c>
      <c r="C249" s="229">
        <v>2</v>
      </c>
      <c r="D249" s="241">
        <v>70.12</v>
      </c>
      <c r="E249" s="226" t="s">
        <v>1047</v>
      </c>
      <c r="F249" s="234">
        <f t="shared" si="3"/>
        <v>140.24</v>
      </c>
    </row>
    <row r="250" spans="1:6" x14ac:dyDescent="0.25">
      <c r="A250" s="226">
        <v>18210</v>
      </c>
      <c r="B250" s="226" t="s">
        <v>1899</v>
      </c>
      <c r="C250" s="229"/>
      <c r="D250" s="241">
        <v>31.74</v>
      </c>
      <c r="E250" s="226" t="s">
        <v>1047</v>
      </c>
      <c r="F250" s="234">
        <f t="shared" si="3"/>
        <v>0</v>
      </c>
    </row>
    <row r="251" spans="1:6" x14ac:dyDescent="0.25">
      <c r="A251" s="226">
        <v>18220</v>
      </c>
      <c r="B251" s="226" t="s">
        <v>1900</v>
      </c>
      <c r="C251" s="229"/>
      <c r="D251" s="241">
        <v>31.74</v>
      </c>
      <c r="E251" s="226" t="s">
        <v>1047</v>
      </c>
      <c r="F251" s="234">
        <f t="shared" si="3"/>
        <v>0</v>
      </c>
    </row>
    <row r="252" spans="1:6" x14ac:dyDescent="0.25">
      <c r="A252" s="226">
        <v>18230</v>
      </c>
      <c r="B252" s="226" t="s">
        <v>1901</v>
      </c>
      <c r="C252" s="228"/>
      <c r="D252" s="241">
        <v>30.55</v>
      </c>
      <c r="E252" s="226" t="s">
        <v>1047</v>
      </c>
      <c r="F252" s="234">
        <f t="shared" si="3"/>
        <v>0</v>
      </c>
    </row>
    <row r="253" spans="1:6" x14ac:dyDescent="0.25">
      <c r="A253" s="226">
        <v>18240</v>
      </c>
      <c r="B253" s="230" t="s">
        <v>850</v>
      </c>
      <c r="C253" s="229"/>
      <c r="D253" s="241">
        <v>42.34</v>
      </c>
      <c r="E253" s="226" t="s">
        <v>1047</v>
      </c>
      <c r="F253" s="234">
        <f t="shared" si="3"/>
        <v>0</v>
      </c>
    </row>
    <row r="254" spans="1:6" x14ac:dyDescent="0.25">
      <c r="A254" s="226">
        <v>18250</v>
      </c>
      <c r="B254" s="230" t="s">
        <v>851</v>
      </c>
      <c r="C254" s="229"/>
      <c r="D254" s="241">
        <v>40</v>
      </c>
      <c r="E254" s="226" t="s">
        <v>1047</v>
      </c>
      <c r="F254" s="234">
        <f t="shared" si="3"/>
        <v>0</v>
      </c>
    </row>
    <row r="255" spans="1:6" x14ac:dyDescent="0.25">
      <c r="A255" s="226">
        <v>18260</v>
      </c>
      <c r="B255" s="230" t="s">
        <v>852</v>
      </c>
      <c r="C255" s="228"/>
      <c r="D255" s="241">
        <v>74.7</v>
      </c>
      <c r="E255" s="226" t="s">
        <v>1047</v>
      </c>
      <c r="F255" s="234">
        <f t="shared" si="3"/>
        <v>0</v>
      </c>
    </row>
    <row r="256" spans="1:6" x14ac:dyDescent="0.25">
      <c r="A256" s="226">
        <v>18270</v>
      </c>
      <c r="B256" s="230" t="s">
        <v>1896</v>
      </c>
      <c r="C256" s="228"/>
      <c r="D256" s="241">
        <v>55</v>
      </c>
      <c r="E256" s="226" t="s">
        <v>1047</v>
      </c>
      <c r="F256" s="234">
        <f t="shared" si="3"/>
        <v>0</v>
      </c>
    </row>
    <row r="257" spans="1:6" x14ac:dyDescent="0.25">
      <c r="A257" s="226">
        <v>18280</v>
      </c>
      <c r="B257" s="230" t="s">
        <v>380</v>
      </c>
      <c r="C257" s="228">
        <v>9</v>
      </c>
      <c r="D257" s="241">
        <v>43.79</v>
      </c>
      <c r="E257" s="226" t="s">
        <v>1047</v>
      </c>
      <c r="F257" s="234">
        <f t="shared" si="3"/>
        <v>394.11</v>
      </c>
    </row>
    <row r="258" spans="1:6" x14ac:dyDescent="0.25">
      <c r="A258" s="226">
        <v>18290</v>
      </c>
      <c r="B258" s="230" t="s">
        <v>847</v>
      </c>
      <c r="C258" s="228"/>
      <c r="D258" s="241">
        <v>12.04</v>
      </c>
      <c r="E258" s="226" t="s">
        <v>1047</v>
      </c>
      <c r="F258" s="234">
        <f t="shared" si="3"/>
        <v>0</v>
      </c>
    </row>
    <row r="259" spans="1:6" x14ac:dyDescent="0.25">
      <c r="A259" s="226">
        <v>18300</v>
      </c>
      <c r="B259" s="230" t="s">
        <v>848</v>
      </c>
      <c r="C259" s="228"/>
      <c r="D259" s="241">
        <v>14.57</v>
      </c>
      <c r="E259" s="226" t="s">
        <v>1047</v>
      </c>
      <c r="F259" s="234">
        <f t="shared" si="3"/>
        <v>0</v>
      </c>
    </row>
    <row r="260" spans="1:6" x14ac:dyDescent="0.25">
      <c r="A260" s="226">
        <v>18310</v>
      </c>
      <c r="B260" s="230" t="s">
        <v>853</v>
      </c>
      <c r="C260" s="228"/>
      <c r="D260" s="241">
        <v>15.26</v>
      </c>
      <c r="E260" s="226" t="s">
        <v>1047</v>
      </c>
      <c r="F260" s="234">
        <f t="shared" si="3"/>
        <v>0</v>
      </c>
    </row>
    <row r="261" spans="1:6" x14ac:dyDescent="0.25">
      <c r="A261" s="226">
        <v>18320</v>
      </c>
      <c r="B261" s="230" t="s">
        <v>854</v>
      </c>
      <c r="C261" s="228"/>
      <c r="D261" s="241">
        <v>17.7</v>
      </c>
      <c r="E261" s="226" t="s">
        <v>1047</v>
      </c>
      <c r="F261" s="234">
        <f t="shared" si="3"/>
        <v>0</v>
      </c>
    </row>
    <row r="262" spans="1:6" x14ac:dyDescent="0.25">
      <c r="A262" s="226">
        <v>18330</v>
      </c>
      <c r="B262" s="230" t="s">
        <v>855</v>
      </c>
      <c r="C262" s="228"/>
      <c r="D262" s="241">
        <v>18.95</v>
      </c>
      <c r="E262" s="226" t="s">
        <v>1047</v>
      </c>
      <c r="F262" s="234">
        <f t="shared" si="3"/>
        <v>0</v>
      </c>
    </row>
    <row r="263" spans="1:6" x14ac:dyDescent="0.25">
      <c r="A263" s="226">
        <v>18340</v>
      </c>
      <c r="B263" s="230" t="s">
        <v>856</v>
      </c>
      <c r="C263" s="228"/>
      <c r="D263" s="241">
        <v>19.899999999999999</v>
      </c>
      <c r="E263" s="226" t="s">
        <v>1047</v>
      </c>
      <c r="F263" s="234">
        <f t="shared" si="3"/>
        <v>0</v>
      </c>
    </row>
    <row r="264" spans="1:6" x14ac:dyDescent="0.25">
      <c r="A264" s="226">
        <v>18350</v>
      </c>
      <c r="B264" s="230" t="s">
        <v>857</v>
      </c>
      <c r="C264" s="228">
        <v>4</v>
      </c>
      <c r="D264" s="241">
        <v>19.920000000000002</v>
      </c>
      <c r="E264" s="226" t="s">
        <v>1047</v>
      </c>
      <c r="F264" s="234">
        <f t="shared" si="3"/>
        <v>79.680000000000007</v>
      </c>
    </row>
    <row r="265" spans="1:6" x14ac:dyDescent="0.25">
      <c r="A265" s="226">
        <v>18360</v>
      </c>
      <c r="B265" s="230" t="s">
        <v>858</v>
      </c>
      <c r="C265" s="228">
        <v>3</v>
      </c>
      <c r="D265" s="241">
        <v>24.62</v>
      </c>
      <c r="E265" s="226" t="s">
        <v>1047</v>
      </c>
      <c r="F265" s="234">
        <f t="shared" si="3"/>
        <v>73.86</v>
      </c>
    </row>
    <row r="266" spans="1:6" x14ac:dyDescent="0.25">
      <c r="A266" s="226">
        <v>18370</v>
      </c>
      <c r="B266" s="230" t="s">
        <v>859</v>
      </c>
      <c r="C266" s="228"/>
      <c r="D266" s="241">
        <v>29.73</v>
      </c>
      <c r="E266" s="226" t="s">
        <v>1047</v>
      </c>
      <c r="F266" s="234">
        <f t="shared" si="3"/>
        <v>0</v>
      </c>
    </row>
    <row r="267" spans="1:6" x14ac:dyDescent="0.25">
      <c r="A267" s="226">
        <v>18380</v>
      </c>
      <c r="B267" s="230" t="s">
        <v>1746</v>
      </c>
      <c r="C267" s="228"/>
      <c r="D267" s="241">
        <v>31.9</v>
      </c>
      <c r="E267" s="226" t="s">
        <v>1047</v>
      </c>
      <c r="F267" s="234">
        <f t="shared" si="3"/>
        <v>0</v>
      </c>
    </row>
    <row r="268" spans="1:6" x14ac:dyDescent="0.25">
      <c r="A268" s="226">
        <v>18390</v>
      </c>
      <c r="B268" s="230" t="s">
        <v>860</v>
      </c>
      <c r="C268" s="228">
        <v>1</v>
      </c>
      <c r="D268" s="241">
        <v>32.9</v>
      </c>
      <c r="E268" s="226" t="s">
        <v>1047</v>
      </c>
      <c r="F268" s="234">
        <f t="shared" ref="F268:F331" si="4">C268*D268</f>
        <v>32.9</v>
      </c>
    </row>
    <row r="269" spans="1:6" x14ac:dyDescent="0.25">
      <c r="A269" s="226">
        <v>18400</v>
      </c>
      <c r="B269" s="230" t="s">
        <v>861</v>
      </c>
      <c r="C269" s="228">
        <v>2</v>
      </c>
      <c r="D269" s="241">
        <v>41.22</v>
      </c>
      <c r="E269" s="226" t="s">
        <v>1047</v>
      </c>
      <c r="F269" s="234">
        <f t="shared" si="4"/>
        <v>82.44</v>
      </c>
    </row>
    <row r="270" spans="1:6" x14ac:dyDescent="0.25">
      <c r="A270" s="226">
        <v>18410</v>
      </c>
      <c r="B270" s="230" t="s">
        <v>862</v>
      </c>
      <c r="C270" s="228"/>
      <c r="D270" s="241">
        <v>35.270000000000003</v>
      </c>
      <c r="E270" s="226" t="s">
        <v>1047</v>
      </c>
      <c r="F270" s="234">
        <f t="shared" si="4"/>
        <v>0</v>
      </c>
    </row>
    <row r="271" spans="1:6" x14ac:dyDescent="0.25">
      <c r="A271" s="226">
        <v>18420</v>
      </c>
      <c r="B271" s="230" t="s">
        <v>863</v>
      </c>
      <c r="C271" s="229"/>
      <c r="D271" s="241">
        <v>53.94</v>
      </c>
      <c r="E271" s="226" t="s">
        <v>1047</v>
      </c>
      <c r="F271" s="234">
        <f t="shared" si="4"/>
        <v>0</v>
      </c>
    </row>
    <row r="272" spans="1:6" x14ac:dyDescent="0.25">
      <c r="A272" s="226">
        <v>18430</v>
      </c>
      <c r="B272" s="230" t="s">
        <v>864</v>
      </c>
      <c r="C272" s="229"/>
      <c r="D272" s="241">
        <v>43.13</v>
      </c>
      <c r="E272" s="226" t="s">
        <v>1047</v>
      </c>
      <c r="F272" s="234">
        <f t="shared" si="4"/>
        <v>0</v>
      </c>
    </row>
    <row r="273" spans="1:6" x14ac:dyDescent="0.25">
      <c r="A273" s="226">
        <v>18440</v>
      </c>
      <c r="B273" s="230" t="s">
        <v>865</v>
      </c>
      <c r="C273" s="228">
        <v>1</v>
      </c>
      <c r="D273" s="241">
        <v>49.7</v>
      </c>
      <c r="E273" s="226" t="s">
        <v>1047</v>
      </c>
      <c r="F273" s="234">
        <f t="shared" si="4"/>
        <v>49.7</v>
      </c>
    </row>
    <row r="274" spans="1:6" x14ac:dyDescent="0.25">
      <c r="A274" s="226">
        <v>18450</v>
      </c>
      <c r="B274" s="230" t="s">
        <v>370</v>
      </c>
      <c r="C274" s="229"/>
      <c r="D274" s="241">
        <v>40.619999999999997</v>
      </c>
      <c r="E274" s="226" t="s">
        <v>1047</v>
      </c>
      <c r="F274" s="234">
        <f t="shared" si="4"/>
        <v>0</v>
      </c>
    </row>
    <row r="275" spans="1:6" x14ac:dyDescent="0.25">
      <c r="A275" s="226">
        <v>18460</v>
      </c>
      <c r="B275" s="226" t="s">
        <v>1406</v>
      </c>
      <c r="C275" s="228"/>
      <c r="D275" s="241">
        <v>53.98</v>
      </c>
      <c r="E275" s="226" t="s">
        <v>1047</v>
      </c>
      <c r="F275" s="234">
        <f t="shared" si="4"/>
        <v>0</v>
      </c>
    </row>
    <row r="276" spans="1:6" x14ac:dyDescent="0.25">
      <c r="A276" s="226">
        <v>18470</v>
      </c>
      <c r="B276" s="230" t="s">
        <v>371</v>
      </c>
      <c r="C276" s="229">
        <v>1</v>
      </c>
      <c r="D276" s="241">
        <v>47.33</v>
      </c>
      <c r="E276" s="226" t="s">
        <v>1047</v>
      </c>
      <c r="F276" s="234">
        <f t="shared" si="4"/>
        <v>47.33</v>
      </c>
    </row>
    <row r="277" spans="1:6" x14ac:dyDescent="0.25">
      <c r="A277" s="226">
        <v>18480</v>
      </c>
      <c r="B277" s="226" t="s">
        <v>1419</v>
      </c>
      <c r="C277" s="228"/>
      <c r="D277" s="241">
        <v>52.44</v>
      </c>
      <c r="E277" s="226" t="s">
        <v>1047</v>
      </c>
      <c r="F277" s="234">
        <f t="shared" si="4"/>
        <v>0</v>
      </c>
    </row>
    <row r="278" spans="1:6" x14ac:dyDescent="0.25">
      <c r="A278" s="226">
        <v>18490</v>
      </c>
      <c r="B278" s="230" t="s">
        <v>372</v>
      </c>
      <c r="C278" s="229"/>
      <c r="D278" s="241">
        <v>54.05</v>
      </c>
      <c r="E278" s="226" t="s">
        <v>1047</v>
      </c>
      <c r="F278" s="234">
        <f t="shared" si="4"/>
        <v>0</v>
      </c>
    </row>
    <row r="279" spans="1:6" x14ac:dyDescent="0.25">
      <c r="A279" s="226">
        <v>18500</v>
      </c>
      <c r="B279" s="226" t="s">
        <v>1428</v>
      </c>
      <c r="C279" s="229"/>
      <c r="D279" s="241">
        <v>66.62</v>
      </c>
      <c r="E279" s="226" t="s">
        <v>1047</v>
      </c>
      <c r="F279" s="234">
        <f t="shared" si="4"/>
        <v>0</v>
      </c>
    </row>
    <row r="280" spans="1:6" x14ac:dyDescent="0.25">
      <c r="A280" s="226">
        <v>18510</v>
      </c>
      <c r="B280" s="230" t="s">
        <v>601</v>
      </c>
      <c r="C280" s="228"/>
      <c r="D280" s="241">
        <v>71.510000000000005</v>
      </c>
      <c r="E280" s="226" t="s">
        <v>1047</v>
      </c>
      <c r="F280" s="234">
        <f t="shared" si="4"/>
        <v>0</v>
      </c>
    </row>
    <row r="281" spans="1:6" x14ac:dyDescent="0.25">
      <c r="A281" s="226">
        <v>18520</v>
      </c>
      <c r="B281" s="230" t="s">
        <v>373</v>
      </c>
      <c r="C281" s="228"/>
      <c r="D281" s="241">
        <v>79.81</v>
      </c>
      <c r="E281" s="226" t="s">
        <v>1047</v>
      </c>
      <c r="F281" s="234">
        <f t="shared" si="4"/>
        <v>0</v>
      </c>
    </row>
    <row r="282" spans="1:6" x14ac:dyDescent="0.25">
      <c r="A282" s="226">
        <v>18530</v>
      </c>
      <c r="B282" s="226" t="s">
        <v>1441</v>
      </c>
      <c r="C282" s="228"/>
      <c r="D282" s="241">
        <v>89.3</v>
      </c>
      <c r="E282" s="226" t="s">
        <v>1047</v>
      </c>
      <c r="F282" s="234">
        <f t="shared" si="4"/>
        <v>0</v>
      </c>
    </row>
    <row r="283" spans="1:6" x14ac:dyDescent="0.25">
      <c r="A283" s="226">
        <v>18540</v>
      </c>
      <c r="B283" s="230" t="s">
        <v>867</v>
      </c>
      <c r="C283" s="228"/>
      <c r="D283" s="241">
        <v>7</v>
      </c>
      <c r="E283" s="226" t="s">
        <v>1047</v>
      </c>
      <c r="F283" s="234">
        <f t="shared" si="4"/>
        <v>0</v>
      </c>
    </row>
    <row r="284" spans="1:6" x14ac:dyDescent="0.25">
      <c r="A284" s="226">
        <v>18550</v>
      </c>
      <c r="B284" s="230" t="s">
        <v>1788</v>
      </c>
      <c r="C284" s="228"/>
      <c r="D284" s="241"/>
      <c r="E284" s="226" t="s">
        <v>1047</v>
      </c>
      <c r="F284" s="234">
        <f t="shared" si="4"/>
        <v>0</v>
      </c>
    </row>
    <row r="285" spans="1:6" x14ac:dyDescent="0.25">
      <c r="A285" s="226">
        <v>18560</v>
      </c>
      <c r="B285" s="230" t="s">
        <v>381</v>
      </c>
      <c r="C285" s="228"/>
      <c r="D285" s="241"/>
      <c r="E285" s="226" t="s">
        <v>1047</v>
      </c>
      <c r="F285" s="234">
        <f t="shared" si="4"/>
        <v>0</v>
      </c>
    </row>
    <row r="286" spans="1:6" x14ac:dyDescent="0.25">
      <c r="A286" s="226">
        <v>18570</v>
      </c>
      <c r="B286" s="230" t="s">
        <v>382</v>
      </c>
      <c r="C286" s="228"/>
      <c r="D286" s="241">
        <v>41.17</v>
      </c>
      <c r="E286" s="226" t="s">
        <v>1047</v>
      </c>
      <c r="F286" s="234">
        <f t="shared" si="4"/>
        <v>0</v>
      </c>
    </row>
    <row r="287" spans="1:6" x14ac:dyDescent="0.25">
      <c r="A287" s="226">
        <v>18580</v>
      </c>
      <c r="B287" s="230" t="s">
        <v>866</v>
      </c>
      <c r="C287" s="228">
        <v>4</v>
      </c>
      <c r="D287" s="241">
        <v>3</v>
      </c>
      <c r="E287" s="226" t="s">
        <v>1047</v>
      </c>
      <c r="F287" s="234">
        <f t="shared" si="4"/>
        <v>12</v>
      </c>
    </row>
    <row r="288" spans="1:6" x14ac:dyDescent="0.25">
      <c r="A288" s="226">
        <v>18590</v>
      </c>
      <c r="B288" s="230" t="s">
        <v>602</v>
      </c>
      <c r="C288" s="228"/>
      <c r="D288" s="241">
        <v>2.75</v>
      </c>
      <c r="E288" s="226" t="s">
        <v>1047</v>
      </c>
      <c r="F288" s="234">
        <f t="shared" si="4"/>
        <v>0</v>
      </c>
    </row>
    <row r="289" spans="1:6" x14ac:dyDescent="0.25">
      <c r="A289" s="226">
        <v>18600</v>
      </c>
      <c r="B289" s="237" t="s">
        <v>364</v>
      </c>
      <c r="C289" s="228"/>
      <c r="D289" s="241">
        <v>5.95</v>
      </c>
      <c r="E289" s="226" t="s">
        <v>1047</v>
      </c>
      <c r="F289" s="234">
        <f t="shared" si="4"/>
        <v>0</v>
      </c>
    </row>
    <row r="290" spans="1:6" x14ac:dyDescent="0.25">
      <c r="A290" s="226">
        <v>18610</v>
      </c>
      <c r="B290" s="237" t="s">
        <v>365</v>
      </c>
      <c r="C290" s="228">
        <v>8</v>
      </c>
      <c r="D290" s="241">
        <v>3.16</v>
      </c>
      <c r="E290" s="226" t="s">
        <v>1047</v>
      </c>
      <c r="F290" s="234">
        <f t="shared" si="4"/>
        <v>25.28</v>
      </c>
    </row>
    <row r="291" spans="1:6" x14ac:dyDescent="0.25">
      <c r="A291" s="226">
        <v>18620</v>
      </c>
      <c r="B291" s="237" t="s">
        <v>648</v>
      </c>
      <c r="C291" s="228"/>
      <c r="D291" s="241">
        <v>3.68</v>
      </c>
      <c r="E291" s="226" t="s">
        <v>1047</v>
      </c>
      <c r="F291" s="234">
        <f t="shared" si="4"/>
        <v>0</v>
      </c>
    </row>
    <row r="292" spans="1:6" x14ac:dyDescent="0.25">
      <c r="A292" s="226">
        <v>18630</v>
      </c>
      <c r="B292" s="236" t="s">
        <v>437</v>
      </c>
      <c r="C292" s="228"/>
      <c r="D292" s="241">
        <v>34.229999999999997</v>
      </c>
      <c r="E292" s="226" t="s">
        <v>1047</v>
      </c>
      <c r="F292" s="234">
        <f t="shared" si="4"/>
        <v>0</v>
      </c>
    </row>
    <row r="293" spans="1:6" x14ac:dyDescent="0.25">
      <c r="A293" s="226">
        <v>18640</v>
      </c>
      <c r="B293" s="236" t="s">
        <v>438</v>
      </c>
      <c r="C293" s="228"/>
      <c r="D293" s="241">
        <v>0</v>
      </c>
      <c r="E293" s="226" t="s">
        <v>1047</v>
      </c>
      <c r="F293" s="234">
        <f t="shared" si="4"/>
        <v>0</v>
      </c>
    </row>
    <row r="294" spans="1:6" x14ac:dyDescent="0.25">
      <c r="A294" s="226">
        <v>20000</v>
      </c>
      <c r="B294" s="230" t="s">
        <v>320</v>
      </c>
      <c r="C294" s="228">
        <v>14</v>
      </c>
      <c r="D294" s="226">
        <v>3.55</v>
      </c>
      <c r="E294" s="226" t="s">
        <v>1047</v>
      </c>
      <c r="F294" s="234">
        <f t="shared" si="4"/>
        <v>49.699999999999996</v>
      </c>
    </row>
    <row r="295" spans="1:6" x14ac:dyDescent="0.25">
      <c r="A295" s="230">
        <v>20010</v>
      </c>
      <c r="B295" s="230" t="s">
        <v>321</v>
      </c>
      <c r="C295" s="228">
        <v>13</v>
      </c>
      <c r="D295" s="226">
        <v>3.17</v>
      </c>
      <c r="E295" s="226" t="s">
        <v>1047</v>
      </c>
      <c r="F295" s="234">
        <f t="shared" si="4"/>
        <v>41.21</v>
      </c>
    </row>
    <row r="296" spans="1:6" x14ac:dyDescent="0.25">
      <c r="A296" s="230">
        <v>20020</v>
      </c>
      <c r="B296" s="230" t="s">
        <v>322</v>
      </c>
      <c r="C296" s="229">
        <v>30</v>
      </c>
      <c r="D296" s="226">
        <v>4.04</v>
      </c>
      <c r="E296" s="226" t="s">
        <v>1047</v>
      </c>
      <c r="F296" s="234">
        <f t="shared" si="4"/>
        <v>121.2</v>
      </c>
    </row>
    <row r="297" spans="1:6" x14ac:dyDescent="0.25">
      <c r="A297" s="230">
        <v>20030</v>
      </c>
      <c r="B297" s="230" t="s">
        <v>323</v>
      </c>
      <c r="C297" s="228">
        <v>1</v>
      </c>
      <c r="D297" s="226">
        <v>6</v>
      </c>
      <c r="E297" s="226" t="s">
        <v>1047</v>
      </c>
      <c r="F297" s="234">
        <f t="shared" si="4"/>
        <v>6</v>
      </c>
    </row>
    <row r="298" spans="1:6" x14ac:dyDescent="0.25">
      <c r="A298" s="230">
        <v>20040</v>
      </c>
      <c r="B298" s="230" t="s">
        <v>324</v>
      </c>
      <c r="C298" s="229"/>
      <c r="D298" s="226">
        <v>5.31</v>
      </c>
      <c r="E298" s="226" t="s">
        <v>1047</v>
      </c>
      <c r="F298" s="234">
        <f t="shared" si="4"/>
        <v>0</v>
      </c>
    </row>
    <row r="299" spans="1:6" x14ac:dyDescent="0.25">
      <c r="A299" s="230">
        <v>20050</v>
      </c>
      <c r="B299" s="230" t="s">
        <v>868</v>
      </c>
      <c r="C299" s="228"/>
      <c r="D299" s="226">
        <v>9.4</v>
      </c>
      <c r="E299" s="226" t="s">
        <v>1047</v>
      </c>
      <c r="F299" s="234">
        <f t="shared" si="4"/>
        <v>0</v>
      </c>
    </row>
    <row r="300" spans="1:6" x14ac:dyDescent="0.25">
      <c r="A300" s="230">
        <v>20060</v>
      </c>
      <c r="B300" s="230" t="s">
        <v>325</v>
      </c>
      <c r="C300" s="228"/>
      <c r="D300" s="226">
        <v>4.16</v>
      </c>
      <c r="E300" s="226" t="s">
        <v>1047</v>
      </c>
      <c r="F300" s="234">
        <f t="shared" si="4"/>
        <v>0</v>
      </c>
    </row>
    <row r="301" spans="1:6" x14ac:dyDescent="0.25">
      <c r="A301" s="230">
        <v>20070</v>
      </c>
      <c r="B301" s="230" t="s">
        <v>326</v>
      </c>
      <c r="C301" s="228"/>
      <c r="D301" s="226">
        <v>3.17</v>
      </c>
      <c r="E301" s="226" t="s">
        <v>1047</v>
      </c>
      <c r="F301" s="234">
        <f t="shared" si="4"/>
        <v>0</v>
      </c>
    </row>
    <row r="302" spans="1:6" x14ac:dyDescent="0.25">
      <c r="A302" s="230">
        <v>20080</v>
      </c>
      <c r="B302" s="230" t="s">
        <v>327</v>
      </c>
      <c r="C302" s="228">
        <v>1</v>
      </c>
      <c r="D302" s="226">
        <v>4.43</v>
      </c>
      <c r="E302" s="226" t="s">
        <v>1047</v>
      </c>
      <c r="F302" s="234">
        <f t="shared" si="4"/>
        <v>4.43</v>
      </c>
    </row>
    <row r="303" spans="1:6" x14ac:dyDescent="0.25">
      <c r="A303" s="230">
        <v>20090</v>
      </c>
      <c r="B303" s="230" t="s">
        <v>328</v>
      </c>
      <c r="C303" s="228"/>
      <c r="D303" s="226">
        <v>7.12</v>
      </c>
      <c r="E303" s="226" t="s">
        <v>1047</v>
      </c>
      <c r="F303" s="234">
        <f t="shared" si="4"/>
        <v>0</v>
      </c>
    </row>
    <row r="304" spans="1:6" x14ac:dyDescent="0.25">
      <c r="A304" s="230">
        <v>20100</v>
      </c>
      <c r="B304" s="230" t="s">
        <v>329</v>
      </c>
      <c r="C304" s="228"/>
      <c r="D304" s="226">
        <v>5.51</v>
      </c>
      <c r="E304" s="226" t="s">
        <v>1047</v>
      </c>
      <c r="F304" s="234">
        <f t="shared" si="4"/>
        <v>0</v>
      </c>
    </row>
    <row r="305" spans="1:6" x14ac:dyDescent="0.25">
      <c r="A305" s="230">
        <v>20110</v>
      </c>
      <c r="B305" s="230" t="s">
        <v>609</v>
      </c>
      <c r="C305" s="228"/>
      <c r="D305" s="226">
        <v>9.4</v>
      </c>
      <c r="E305" s="226" t="s">
        <v>1047</v>
      </c>
      <c r="F305" s="234">
        <f t="shared" si="4"/>
        <v>0</v>
      </c>
    </row>
    <row r="306" spans="1:6" x14ac:dyDescent="0.25">
      <c r="A306" s="230">
        <v>20120</v>
      </c>
      <c r="B306" s="230" t="s">
        <v>330</v>
      </c>
      <c r="C306" s="228">
        <v>2</v>
      </c>
      <c r="D306" s="226">
        <v>4.7</v>
      </c>
      <c r="E306" s="226" t="s">
        <v>1047</v>
      </c>
      <c r="F306" s="234">
        <f t="shared" si="4"/>
        <v>9.4</v>
      </c>
    </row>
    <row r="307" spans="1:6" x14ac:dyDescent="0.25">
      <c r="A307" s="230">
        <v>20130</v>
      </c>
      <c r="B307" s="230" t="s">
        <v>331</v>
      </c>
      <c r="C307" s="228"/>
      <c r="D307" s="226">
        <v>4.25</v>
      </c>
      <c r="E307" s="226" t="s">
        <v>1047</v>
      </c>
      <c r="F307" s="234">
        <f t="shared" si="4"/>
        <v>0</v>
      </c>
    </row>
    <row r="308" spans="1:6" x14ac:dyDescent="0.25">
      <c r="A308" s="230">
        <v>20140</v>
      </c>
      <c r="B308" s="230" t="s">
        <v>332</v>
      </c>
      <c r="C308" s="228"/>
      <c r="D308" s="226">
        <v>5.45</v>
      </c>
      <c r="E308" s="226" t="s">
        <v>1047</v>
      </c>
      <c r="F308" s="234">
        <f t="shared" si="4"/>
        <v>0</v>
      </c>
    </row>
    <row r="309" spans="1:6" x14ac:dyDescent="0.25">
      <c r="A309" s="230">
        <v>20150</v>
      </c>
      <c r="B309" s="230" t="s">
        <v>333</v>
      </c>
      <c r="C309" s="228">
        <v>1</v>
      </c>
      <c r="D309" s="226">
        <v>7.12</v>
      </c>
      <c r="E309" s="226" t="s">
        <v>1047</v>
      </c>
      <c r="F309" s="234">
        <f t="shared" si="4"/>
        <v>7.12</v>
      </c>
    </row>
    <row r="310" spans="1:6" x14ac:dyDescent="0.25">
      <c r="A310" s="230">
        <v>20160</v>
      </c>
      <c r="B310" s="230" t="s">
        <v>334</v>
      </c>
      <c r="C310" s="228">
        <v>5</v>
      </c>
      <c r="D310" s="226">
        <v>7.21</v>
      </c>
      <c r="E310" s="226" t="s">
        <v>1047</v>
      </c>
      <c r="F310" s="234">
        <f t="shared" si="4"/>
        <v>36.049999999999997</v>
      </c>
    </row>
    <row r="311" spans="1:6" x14ac:dyDescent="0.25">
      <c r="A311" s="230">
        <v>20170</v>
      </c>
      <c r="B311" s="230" t="s">
        <v>610</v>
      </c>
      <c r="C311" s="228"/>
      <c r="D311" s="226">
        <v>7.61</v>
      </c>
      <c r="E311" s="226" t="s">
        <v>1047</v>
      </c>
      <c r="F311" s="234">
        <f t="shared" si="4"/>
        <v>0</v>
      </c>
    </row>
    <row r="312" spans="1:6" x14ac:dyDescent="0.25">
      <c r="A312" s="230">
        <v>20180</v>
      </c>
      <c r="B312" s="230" t="s">
        <v>335</v>
      </c>
      <c r="C312" s="228">
        <v>17</v>
      </c>
      <c r="D312" s="226">
        <v>3.4</v>
      </c>
      <c r="E312" s="226" t="s">
        <v>1047</v>
      </c>
      <c r="F312" s="234">
        <f t="shared" si="4"/>
        <v>57.8</v>
      </c>
    </row>
    <row r="313" spans="1:6" x14ac:dyDescent="0.25">
      <c r="A313" s="230">
        <v>20190</v>
      </c>
      <c r="B313" s="226" t="s">
        <v>1385</v>
      </c>
      <c r="C313" s="229"/>
      <c r="D313" s="226">
        <v>3.4</v>
      </c>
      <c r="E313" s="226" t="s">
        <v>1047</v>
      </c>
      <c r="F313" s="234">
        <f t="shared" si="4"/>
        <v>0</v>
      </c>
    </row>
    <row r="314" spans="1:6" x14ac:dyDescent="0.25">
      <c r="A314" s="230">
        <v>20200</v>
      </c>
      <c r="B314" s="230" t="s">
        <v>336</v>
      </c>
      <c r="C314" s="228">
        <v>11</v>
      </c>
      <c r="D314" s="226">
        <v>3.4</v>
      </c>
      <c r="E314" s="226" t="s">
        <v>1047</v>
      </c>
      <c r="F314" s="234">
        <f t="shared" si="4"/>
        <v>37.4</v>
      </c>
    </row>
    <row r="315" spans="1:6" x14ac:dyDescent="0.25">
      <c r="A315" s="230">
        <v>20210</v>
      </c>
      <c r="B315" s="226" t="s">
        <v>1398</v>
      </c>
      <c r="C315" s="228"/>
      <c r="D315" s="226">
        <v>3.4</v>
      </c>
      <c r="E315" s="226" t="s">
        <v>1047</v>
      </c>
      <c r="F315" s="234">
        <f t="shared" si="4"/>
        <v>0</v>
      </c>
    </row>
    <row r="316" spans="1:6" x14ac:dyDescent="0.25">
      <c r="A316" s="230">
        <v>20220</v>
      </c>
      <c r="B316" s="230" t="s">
        <v>337</v>
      </c>
      <c r="C316" s="228">
        <v>1</v>
      </c>
      <c r="D316" s="226">
        <v>4.6399999999999997</v>
      </c>
      <c r="E316" s="226" t="s">
        <v>1047</v>
      </c>
      <c r="F316" s="234">
        <f t="shared" si="4"/>
        <v>4.6399999999999997</v>
      </c>
    </row>
    <row r="317" spans="1:6" x14ac:dyDescent="0.25">
      <c r="A317" s="230">
        <v>20230</v>
      </c>
      <c r="B317" s="230" t="s">
        <v>338</v>
      </c>
      <c r="C317" s="228"/>
      <c r="D317" s="241">
        <v>5.09</v>
      </c>
      <c r="E317" s="226" t="s">
        <v>1047</v>
      </c>
      <c r="F317" s="234">
        <f t="shared" si="4"/>
        <v>0</v>
      </c>
    </row>
    <row r="318" spans="1:6" x14ac:dyDescent="0.25">
      <c r="A318" s="230">
        <v>20240</v>
      </c>
      <c r="B318" s="230" t="s">
        <v>339</v>
      </c>
      <c r="C318" s="228"/>
      <c r="D318" s="241">
        <v>0.65</v>
      </c>
      <c r="E318" s="226" t="s">
        <v>1047</v>
      </c>
      <c r="F318" s="234">
        <f t="shared" si="4"/>
        <v>0</v>
      </c>
    </row>
    <row r="319" spans="1:6" x14ac:dyDescent="0.25">
      <c r="A319" s="230">
        <v>20250</v>
      </c>
      <c r="B319" s="230" t="s">
        <v>870</v>
      </c>
      <c r="C319" s="228"/>
      <c r="D319" s="241">
        <v>0.93</v>
      </c>
      <c r="E319" s="226" t="s">
        <v>1047</v>
      </c>
      <c r="F319" s="234">
        <f t="shared" si="4"/>
        <v>0</v>
      </c>
    </row>
    <row r="320" spans="1:6" x14ac:dyDescent="0.25">
      <c r="A320" s="230">
        <v>20260</v>
      </c>
      <c r="B320" s="230" t="s">
        <v>869</v>
      </c>
      <c r="C320" s="228"/>
      <c r="D320" s="241">
        <v>0.96</v>
      </c>
      <c r="E320" s="226" t="s">
        <v>1047</v>
      </c>
      <c r="F320" s="234">
        <f t="shared" si="4"/>
        <v>0</v>
      </c>
    </row>
    <row r="321" spans="1:6" x14ac:dyDescent="0.25">
      <c r="A321" s="230">
        <v>20270</v>
      </c>
      <c r="B321" s="230" t="s">
        <v>871</v>
      </c>
      <c r="C321" s="229"/>
      <c r="D321" s="241">
        <v>1.56</v>
      </c>
      <c r="E321" s="226" t="s">
        <v>1047</v>
      </c>
      <c r="F321" s="234">
        <f t="shared" si="4"/>
        <v>0</v>
      </c>
    </row>
    <row r="322" spans="1:6" x14ac:dyDescent="0.25">
      <c r="A322" s="230">
        <v>20280</v>
      </c>
      <c r="B322" s="230" t="s">
        <v>611</v>
      </c>
      <c r="C322" s="228">
        <v>5</v>
      </c>
      <c r="D322" s="241">
        <v>1.7</v>
      </c>
      <c r="E322" s="226" t="s">
        <v>1047</v>
      </c>
      <c r="F322" s="234">
        <f t="shared" si="4"/>
        <v>8.5</v>
      </c>
    </row>
    <row r="323" spans="1:6" x14ac:dyDescent="0.25">
      <c r="A323" s="230">
        <v>20290</v>
      </c>
      <c r="B323" s="230" t="s">
        <v>872</v>
      </c>
      <c r="C323" s="228"/>
      <c r="D323" s="241">
        <v>2.1800000000000002</v>
      </c>
      <c r="E323" s="226" t="s">
        <v>1047</v>
      </c>
      <c r="F323" s="234">
        <f t="shared" si="4"/>
        <v>0</v>
      </c>
    </row>
    <row r="324" spans="1:6" x14ac:dyDescent="0.25">
      <c r="A324" s="230">
        <v>20300</v>
      </c>
      <c r="B324" s="230" t="s">
        <v>612</v>
      </c>
      <c r="C324" s="228">
        <v>3</v>
      </c>
      <c r="D324" s="241">
        <v>2.19</v>
      </c>
      <c r="E324" s="226" t="s">
        <v>1047</v>
      </c>
      <c r="F324" s="234">
        <f t="shared" si="4"/>
        <v>6.57</v>
      </c>
    </row>
    <row r="325" spans="1:6" x14ac:dyDescent="0.25">
      <c r="A325" s="230">
        <v>20310</v>
      </c>
      <c r="B325" s="230" t="s">
        <v>873</v>
      </c>
      <c r="C325" s="228">
        <v>1</v>
      </c>
      <c r="D325" s="241">
        <v>3.55</v>
      </c>
      <c r="E325" s="226" t="s">
        <v>1047</v>
      </c>
      <c r="F325" s="234">
        <f t="shared" si="4"/>
        <v>3.55</v>
      </c>
    </row>
    <row r="326" spans="1:6" x14ac:dyDescent="0.25">
      <c r="A326" s="230">
        <v>20320</v>
      </c>
      <c r="B326" s="230" t="s">
        <v>874</v>
      </c>
      <c r="C326" s="228">
        <v>2</v>
      </c>
      <c r="D326" s="241">
        <v>3.57</v>
      </c>
      <c r="E326" s="226" t="s">
        <v>1047</v>
      </c>
      <c r="F326" s="234">
        <f t="shared" si="4"/>
        <v>7.14</v>
      </c>
    </row>
    <row r="327" spans="1:6" x14ac:dyDescent="0.25">
      <c r="A327" s="230">
        <v>20330</v>
      </c>
      <c r="B327" s="230" t="s">
        <v>875</v>
      </c>
      <c r="C327" s="228">
        <v>1</v>
      </c>
      <c r="D327" s="241">
        <v>3.77</v>
      </c>
      <c r="E327" s="226" t="s">
        <v>1047</v>
      </c>
      <c r="F327" s="234">
        <f t="shared" si="4"/>
        <v>3.77</v>
      </c>
    </row>
    <row r="328" spans="1:6" x14ac:dyDescent="0.25">
      <c r="A328" s="230">
        <v>20340</v>
      </c>
      <c r="B328" s="230" t="s">
        <v>876</v>
      </c>
      <c r="C328" s="228"/>
      <c r="D328" s="241"/>
      <c r="E328" s="226" t="s">
        <v>1047</v>
      </c>
      <c r="F328" s="234">
        <f t="shared" si="4"/>
        <v>0</v>
      </c>
    </row>
    <row r="329" spans="1:6" x14ac:dyDescent="0.25">
      <c r="A329" s="230">
        <v>20350</v>
      </c>
      <c r="B329" s="230" t="s">
        <v>877</v>
      </c>
      <c r="C329" s="228"/>
      <c r="D329" s="241"/>
      <c r="E329" s="226" t="s">
        <v>1047</v>
      </c>
      <c r="F329" s="234">
        <f t="shared" si="4"/>
        <v>0</v>
      </c>
    </row>
    <row r="330" spans="1:6" x14ac:dyDescent="0.25">
      <c r="A330" s="230">
        <v>20360</v>
      </c>
      <c r="B330" s="230" t="s">
        <v>613</v>
      </c>
      <c r="C330" s="228">
        <v>14</v>
      </c>
      <c r="D330" s="226">
        <v>1.23</v>
      </c>
      <c r="E330" s="226" t="s">
        <v>1047</v>
      </c>
      <c r="F330" s="234">
        <f t="shared" si="4"/>
        <v>17.22</v>
      </c>
    </row>
    <row r="331" spans="1:6" x14ac:dyDescent="0.25">
      <c r="A331" s="230">
        <v>20370</v>
      </c>
      <c r="B331" s="230" t="s">
        <v>614</v>
      </c>
      <c r="C331" s="228">
        <v>22</v>
      </c>
      <c r="D331" s="226">
        <v>1.45</v>
      </c>
      <c r="E331" s="226" t="s">
        <v>1047</v>
      </c>
      <c r="F331" s="234">
        <f t="shared" si="4"/>
        <v>31.9</v>
      </c>
    </row>
    <row r="332" spans="1:6" x14ac:dyDescent="0.25">
      <c r="A332" s="230">
        <v>20380</v>
      </c>
      <c r="B332" s="230" t="s">
        <v>615</v>
      </c>
      <c r="C332" s="228">
        <v>30</v>
      </c>
      <c r="D332" s="226">
        <v>1.71</v>
      </c>
      <c r="E332" s="226" t="s">
        <v>1047</v>
      </c>
      <c r="F332" s="234">
        <f t="shared" ref="F332:F395" si="5">C332*D332</f>
        <v>51.3</v>
      </c>
    </row>
    <row r="333" spans="1:6" x14ac:dyDescent="0.25">
      <c r="A333" s="230">
        <v>20390</v>
      </c>
      <c r="B333" s="230" t="s">
        <v>616</v>
      </c>
      <c r="C333" s="228">
        <v>11</v>
      </c>
      <c r="D333" s="226">
        <v>1.99</v>
      </c>
      <c r="E333" s="226" t="s">
        <v>1047</v>
      </c>
      <c r="F333" s="234">
        <f t="shared" si="5"/>
        <v>21.89</v>
      </c>
    </row>
    <row r="334" spans="1:6" x14ac:dyDescent="0.25">
      <c r="A334" s="230">
        <v>20400</v>
      </c>
      <c r="B334" s="230" t="s">
        <v>617</v>
      </c>
      <c r="C334" s="228"/>
      <c r="D334" s="226">
        <v>2.1800000000000002</v>
      </c>
      <c r="E334" s="226" t="s">
        <v>1047</v>
      </c>
      <c r="F334" s="234">
        <f t="shared" si="5"/>
        <v>0</v>
      </c>
    </row>
    <row r="335" spans="1:6" x14ac:dyDescent="0.25">
      <c r="A335" s="230">
        <v>20410</v>
      </c>
      <c r="B335" s="230" t="s">
        <v>618</v>
      </c>
      <c r="C335" s="228">
        <v>10</v>
      </c>
      <c r="D335" s="226">
        <v>2.4900000000000002</v>
      </c>
      <c r="E335" s="226" t="s">
        <v>1047</v>
      </c>
      <c r="F335" s="234">
        <f t="shared" si="5"/>
        <v>24.900000000000002</v>
      </c>
    </row>
    <row r="336" spans="1:6" x14ac:dyDescent="0.25">
      <c r="A336" s="230">
        <v>20420</v>
      </c>
      <c r="B336" s="230" t="s">
        <v>619</v>
      </c>
      <c r="C336" s="228">
        <v>14</v>
      </c>
      <c r="D336" s="226">
        <v>2.87</v>
      </c>
      <c r="E336" s="226" t="s">
        <v>1047</v>
      </c>
      <c r="F336" s="234">
        <f t="shared" si="5"/>
        <v>40.18</v>
      </c>
    </row>
    <row r="337" spans="1:6" x14ac:dyDescent="0.25">
      <c r="A337" s="230">
        <v>20430</v>
      </c>
      <c r="B337" s="230" t="s">
        <v>620</v>
      </c>
      <c r="C337" s="228">
        <v>6</v>
      </c>
      <c r="D337" s="241">
        <v>3.61</v>
      </c>
      <c r="E337" s="226" t="s">
        <v>1047</v>
      </c>
      <c r="F337" s="234">
        <f t="shared" si="5"/>
        <v>21.66</v>
      </c>
    </row>
    <row r="338" spans="1:6" x14ac:dyDescent="0.25">
      <c r="A338" s="230">
        <v>20440</v>
      </c>
      <c r="B338" s="230" t="s">
        <v>621</v>
      </c>
      <c r="C338" s="228">
        <v>1</v>
      </c>
      <c r="D338" s="226">
        <v>12.05</v>
      </c>
      <c r="E338" s="226" t="s">
        <v>1047</v>
      </c>
      <c r="F338" s="234">
        <f t="shared" si="5"/>
        <v>12.05</v>
      </c>
    </row>
    <row r="339" spans="1:6" x14ac:dyDescent="0.25">
      <c r="A339" s="230">
        <v>20450</v>
      </c>
      <c r="B339" s="230" t="s">
        <v>878</v>
      </c>
      <c r="C339" s="228"/>
      <c r="D339" s="241">
        <v>21.2</v>
      </c>
      <c r="E339" s="226" t="s">
        <v>1047</v>
      </c>
      <c r="F339" s="234">
        <f t="shared" si="5"/>
        <v>0</v>
      </c>
    </row>
    <row r="340" spans="1:6" x14ac:dyDescent="0.25">
      <c r="A340" s="230">
        <v>20460</v>
      </c>
      <c r="B340" s="230" t="s">
        <v>879</v>
      </c>
      <c r="C340" s="228"/>
      <c r="D340" s="241">
        <v>0</v>
      </c>
      <c r="E340" s="226" t="s">
        <v>1047</v>
      </c>
      <c r="F340" s="234">
        <f t="shared" si="5"/>
        <v>0</v>
      </c>
    </row>
    <row r="341" spans="1:6" x14ac:dyDescent="0.25">
      <c r="A341" s="230">
        <v>20470</v>
      </c>
      <c r="B341" s="230" t="s">
        <v>1744</v>
      </c>
      <c r="C341" s="228"/>
      <c r="D341" s="241"/>
      <c r="E341" s="226" t="s">
        <v>1047</v>
      </c>
      <c r="F341" s="234">
        <f t="shared" si="5"/>
        <v>0</v>
      </c>
    </row>
    <row r="342" spans="1:6" x14ac:dyDescent="0.25">
      <c r="A342" s="230">
        <v>20480</v>
      </c>
      <c r="B342" s="230" t="s">
        <v>1743</v>
      </c>
      <c r="C342" s="228">
        <v>8</v>
      </c>
      <c r="D342" s="226">
        <v>6.6</v>
      </c>
      <c r="E342" s="226" t="s">
        <v>1047</v>
      </c>
      <c r="F342" s="234">
        <f t="shared" si="5"/>
        <v>52.8</v>
      </c>
    </row>
    <row r="343" spans="1:6" x14ac:dyDescent="0.25">
      <c r="A343" s="230">
        <v>20490</v>
      </c>
      <c r="B343" s="230" t="s">
        <v>882</v>
      </c>
      <c r="C343" s="228"/>
      <c r="D343" s="226">
        <v>9.32</v>
      </c>
      <c r="E343" s="226" t="s">
        <v>1047</v>
      </c>
      <c r="F343" s="234">
        <f t="shared" si="5"/>
        <v>0</v>
      </c>
    </row>
    <row r="344" spans="1:6" x14ac:dyDescent="0.25">
      <c r="A344" s="230">
        <v>20500</v>
      </c>
      <c r="B344" s="230" t="s">
        <v>883</v>
      </c>
      <c r="C344" s="228"/>
      <c r="D344" s="226">
        <v>10.16</v>
      </c>
      <c r="E344" s="226" t="s">
        <v>1047</v>
      </c>
      <c r="F344" s="234">
        <f t="shared" si="5"/>
        <v>0</v>
      </c>
    </row>
    <row r="345" spans="1:6" x14ac:dyDescent="0.25">
      <c r="A345" s="230">
        <v>20510</v>
      </c>
      <c r="B345" s="230" t="s">
        <v>884</v>
      </c>
      <c r="C345" s="228"/>
      <c r="D345" s="226">
        <v>11.94</v>
      </c>
      <c r="E345" s="226" t="s">
        <v>1047</v>
      </c>
      <c r="F345" s="234">
        <f t="shared" si="5"/>
        <v>0</v>
      </c>
    </row>
    <row r="346" spans="1:6" x14ac:dyDescent="0.25">
      <c r="A346" s="230">
        <v>20520</v>
      </c>
      <c r="B346" s="230" t="s">
        <v>885</v>
      </c>
      <c r="C346" s="228"/>
      <c r="D346" s="226">
        <v>10.38</v>
      </c>
      <c r="E346" s="226" t="s">
        <v>1047</v>
      </c>
      <c r="F346" s="234">
        <f t="shared" si="5"/>
        <v>0</v>
      </c>
    </row>
    <row r="347" spans="1:6" x14ac:dyDescent="0.25">
      <c r="A347" s="230">
        <v>20530</v>
      </c>
      <c r="B347" s="226" t="s">
        <v>1453</v>
      </c>
      <c r="C347" s="228"/>
      <c r="D347" s="241">
        <v>0</v>
      </c>
      <c r="E347" s="226" t="s">
        <v>1047</v>
      </c>
      <c r="F347" s="234">
        <f t="shared" si="5"/>
        <v>0</v>
      </c>
    </row>
    <row r="348" spans="1:6" x14ac:dyDescent="0.25">
      <c r="A348" s="230">
        <v>20540</v>
      </c>
      <c r="B348" s="226" t="s">
        <v>1465</v>
      </c>
      <c r="C348" s="228"/>
      <c r="D348" s="241">
        <v>0</v>
      </c>
      <c r="E348" s="226" t="s">
        <v>1047</v>
      </c>
      <c r="F348" s="234">
        <f t="shared" si="5"/>
        <v>0</v>
      </c>
    </row>
    <row r="349" spans="1:6" x14ac:dyDescent="0.25">
      <c r="A349" s="230">
        <v>20550</v>
      </c>
      <c r="B349" s="226" t="s">
        <v>1748</v>
      </c>
      <c r="C349" s="228"/>
      <c r="D349" s="241">
        <v>0</v>
      </c>
      <c r="E349" s="226" t="s">
        <v>1047</v>
      </c>
      <c r="F349" s="234">
        <f t="shared" si="5"/>
        <v>0</v>
      </c>
    </row>
    <row r="350" spans="1:6" x14ac:dyDescent="0.25">
      <c r="A350" s="230">
        <v>20560</v>
      </c>
      <c r="B350" s="226" t="s">
        <v>1749</v>
      </c>
      <c r="C350" s="228"/>
      <c r="D350" s="241">
        <v>0</v>
      </c>
      <c r="E350" s="226" t="s">
        <v>1047</v>
      </c>
      <c r="F350" s="234">
        <f t="shared" si="5"/>
        <v>0</v>
      </c>
    </row>
    <row r="351" spans="1:6" x14ac:dyDescent="0.25">
      <c r="A351" s="230">
        <v>20570</v>
      </c>
      <c r="B351" s="226" t="s">
        <v>1380</v>
      </c>
      <c r="C351" s="228"/>
      <c r="D351" s="241">
        <v>0</v>
      </c>
      <c r="E351" s="226" t="s">
        <v>1047</v>
      </c>
      <c r="F351" s="234">
        <f t="shared" si="5"/>
        <v>0</v>
      </c>
    </row>
    <row r="352" spans="1:6" x14ac:dyDescent="0.25">
      <c r="A352" s="230">
        <v>20580</v>
      </c>
      <c r="B352" s="226" t="s">
        <v>1392</v>
      </c>
      <c r="C352" s="228"/>
      <c r="D352" s="241">
        <v>0</v>
      </c>
      <c r="E352" s="226" t="s">
        <v>1047</v>
      </c>
      <c r="F352" s="234">
        <f t="shared" si="5"/>
        <v>0</v>
      </c>
    </row>
    <row r="353" spans="1:6" x14ac:dyDescent="0.25">
      <c r="A353" s="230">
        <v>20590</v>
      </c>
      <c r="B353" s="230" t="s">
        <v>340</v>
      </c>
      <c r="C353" s="228"/>
      <c r="D353" s="241">
        <v>10.26</v>
      </c>
      <c r="E353" s="226" t="s">
        <v>1047</v>
      </c>
      <c r="F353" s="234">
        <f t="shared" si="5"/>
        <v>0</v>
      </c>
    </row>
    <row r="354" spans="1:6" x14ac:dyDescent="0.25">
      <c r="A354" s="230">
        <v>20600</v>
      </c>
      <c r="B354" s="230" t="s">
        <v>341</v>
      </c>
      <c r="C354" s="228"/>
      <c r="D354" s="241">
        <v>9.8800000000000008</v>
      </c>
      <c r="E354" s="226" t="s">
        <v>1047</v>
      </c>
      <c r="F354" s="234">
        <f t="shared" si="5"/>
        <v>0</v>
      </c>
    </row>
    <row r="355" spans="1:6" x14ac:dyDescent="0.25">
      <c r="A355" s="230">
        <v>20610</v>
      </c>
      <c r="B355" s="230" t="s">
        <v>622</v>
      </c>
      <c r="C355" s="228"/>
      <c r="D355" s="241">
        <v>12.92</v>
      </c>
      <c r="E355" s="226" t="s">
        <v>1047</v>
      </c>
      <c r="F355" s="234">
        <f t="shared" si="5"/>
        <v>0</v>
      </c>
    </row>
    <row r="356" spans="1:6" x14ac:dyDescent="0.25">
      <c r="A356" s="230">
        <v>20620</v>
      </c>
      <c r="B356" s="230" t="s">
        <v>342</v>
      </c>
      <c r="C356" s="228"/>
      <c r="D356" s="241">
        <v>10.97</v>
      </c>
      <c r="E356" s="226" t="s">
        <v>1047</v>
      </c>
      <c r="F356" s="234">
        <f t="shared" si="5"/>
        <v>0</v>
      </c>
    </row>
    <row r="357" spans="1:6" x14ac:dyDescent="0.25">
      <c r="A357" s="230">
        <v>20630</v>
      </c>
      <c r="B357" s="230" t="s">
        <v>343</v>
      </c>
      <c r="C357" s="228"/>
      <c r="D357" s="241">
        <v>11.26</v>
      </c>
      <c r="E357" s="226" t="s">
        <v>1047</v>
      </c>
      <c r="F357" s="234">
        <f t="shared" si="5"/>
        <v>0</v>
      </c>
    </row>
    <row r="358" spans="1:6" x14ac:dyDescent="0.25">
      <c r="A358" s="230">
        <v>20640</v>
      </c>
      <c r="B358" s="230" t="s">
        <v>344</v>
      </c>
      <c r="C358" s="228">
        <v>1</v>
      </c>
      <c r="D358" s="241">
        <v>16.47</v>
      </c>
      <c r="E358" s="226" t="s">
        <v>1047</v>
      </c>
      <c r="F358" s="234">
        <f t="shared" si="5"/>
        <v>16.47</v>
      </c>
    </row>
    <row r="359" spans="1:6" x14ac:dyDescent="0.25">
      <c r="A359" s="230">
        <v>20650</v>
      </c>
      <c r="B359" s="230" t="s">
        <v>345</v>
      </c>
      <c r="C359" s="228"/>
      <c r="D359" s="241">
        <v>10.31</v>
      </c>
      <c r="E359" s="226" t="s">
        <v>1047</v>
      </c>
      <c r="F359" s="234">
        <f t="shared" si="5"/>
        <v>0</v>
      </c>
    </row>
    <row r="360" spans="1:6" x14ac:dyDescent="0.25">
      <c r="A360" s="230">
        <v>20660</v>
      </c>
      <c r="B360" s="230" t="s">
        <v>1474</v>
      </c>
      <c r="C360" s="228"/>
      <c r="D360" s="241">
        <v>0</v>
      </c>
      <c r="E360" s="226" t="s">
        <v>1047</v>
      </c>
      <c r="F360" s="234">
        <f t="shared" si="5"/>
        <v>0</v>
      </c>
    </row>
    <row r="361" spans="1:6" x14ac:dyDescent="0.25">
      <c r="A361" s="230">
        <v>20670</v>
      </c>
      <c r="B361" s="230" t="s">
        <v>623</v>
      </c>
      <c r="C361" s="228">
        <v>1</v>
      </c>
      <c r="D361" s="241">
        <v>14.5</v>
      </c>
      <c r="E361" s="226" t="s">
        <v>1047</v>
      </c>
      <c r="F361" s="234">
        <f t="shared" si="5"/>
        <v>14.5</v>
      </c>
    </row>
    <row r="362" spans="1:6" x14ac:dyDescent="0.25">
      <c r="A362" s="230">
        <v>20680</v>
      </c>
      <c r="B362" s="230" t="s">
        <v>346</v>
      </c>
      <c r="C362" s="228"/>
      <c r="D362" s="221">
        <v>14.25</v>
      </c>
      <c r="E362" s="226" t="s">
        <v>1047</v>
      </c>
      <c r="F362" s="234">
        <f t="shared" si="5"/>
        <v>0</v>
      </c>
    </row>
    <row r="363" spans="1:6" x14ac:dyDescent="0.25">
      <c r="A363" s="230">
        <v>20690</v>
      </c>
      <c r="B363" s="230" t="s">
        <v>624</v>
      </c>
      <c r="C363" s="228"/>
      <c r="D363" s="221">
        <v>17.09</v>
      </c>
      <c r="E363" s="226" t="s">
        <v>1047</v>
      </c>
      <c r="F363" s="234">
        <f t="shared" si="5"/>
        <v>0</v>
      </c>
    </row>
    <row r="364" spans="1:6" x14ac:dyDescent="0.25">
      <c r="A364" s="230">
        <v>20700</v>
      </c>
      <c r="B364" s="230" t="s">
        <v>347</v>
      </c>
      <c r="C364" s="229">
        <v>2</v>
      </c>
      <c r="D364" s="221">
        <v>14.35</v>
      </c>
      <c r="E364" s="226" t="s">
        <v>1047</v>
      </c>
      <c r="F364" s="234">
        <f t="shared" si="5"/>
        <v>28.7</v>
      </c>
    </row>
    <row r="365" spans="1:6" x14ac:dyDescent="0.25">
      <c r="A365" s="230">
        <v>20710</v>
      </c>
      <c r="B365" s="230" t="s">
        <v>886</v>
      </c>
      <c r="C365" s="228"/>
      <c r="D365" s="221">
        <v>23.62</v>
      </c>
      <c r="E365" s="226" t="s">
        <v>1047</v>
      </c>
      <c r="F365" s="234">
        <f t="shared" si="5"/>
        <v>0</v>
      </c>
    </row>
    <row r="366" spans="1:6" x14ac:dyDescent="0.25">
      <c r="A366" s="230">
        <v>20720</v>
      </c>
      <c r="B366" s="230" t="s">
        <v>887</v>
      </c>
      <c r="C366" s="228"/>
      <c r="D366" s="241"/>
      <c r="E366" s="226" t="s">
        <v>1047</v>
      </c>
      <c r="F366" s="234">
        <f t="shared" si="5"/>
        <v>0</v>
      </c>
    </row>
    <row r="367" spans="1:6" x14ac:dyDescent="0.25">
      <c r="A367" s="230">
        <v>20730</v>
      </c>
      <c r="B367" s="230" t="s">
        <v>625</v>
      </c>
      <c r="C367" s="228">
        <v>6</v>
      </c>
      <c r="D367" s="226">
        <v>2.4700000000000002</v>
      </c>
      <c r="E367" s="226" t="s">
        <v>1047</v>
      </c>
      <c r="F367" s="234">
        <f t="shared" si="5"/>
        <v>14.82</v>
      </c>
    </row>
    <row r="368" spans="1:6" x14ac:dyDescent="0.25">
      <c r="A368" s="230">
        <v>20740</v>
      </c>
      <c r="B368" s="230" t="s">
        <v>626</v>
      </c>
      <c r="C368" s="228"/>
      <c r="D368" s="226">
        <v>2.0499999999999998</v>
      </c>
      <c r="E368" s="226" t="s">
        <v>1047</v>
      </c>
      <c r="F368" s="234">
        <f t="shared" si="5"/>
        <v>0</v>
      </c>
    </row>
    <row r="369" spans="1:6" x14ac:dyDescent="0.25">
      <c r="A369" s="230">
        <v>20750</v>
      </c>
      <c r="B369" s="230" t="s">
        <v>627</v>
      </c>
      <c r="C369" s="228"/>
      <c r="D369" s="226">
        <v>3.27</v>
      </c>
      <c r="E369" s="226" t="s">
        <v>1047</v>
      </c>
      <c r="F369" s="234">
        <f t="shared" si="5"/>
        <v>0</v>
      </c>
    </row>
    <row r="370" spans="1:6" x14ac:dyDescent="0.25">
      <c r="A370" s="230">
        <v>20760</v>
      </c>
      <c r="B370" s="230" t="s">
        <v>628</v>
      </c>
      <c r="C370" s="228"/>
      <c r="D370" s="226">
        <v>3.55</v>
      </c>
      <c r="E370" s="226" t="s">
        <v>1047</v>
      </c>
      <c r="F370" s="234">
        <f t="shared" si="5"/>
        <v>0</v>
      </c>
    </row>
    <row r="371" spans="1:6" x14ac:dyDescent="0.25">
      <c r="A371" s="230">
        <v>20770</v>
      </c>
      <c r="B371" s="230" t="s">
        <v>629</v>
      </c>
      <c r="C371" s="228"/>
      <c r="D371" s="226">
        <v>5.75</v>
      </c>
      <c r="E371" s="226" t="s">
        <v>1047</v>
      </c>
      <c r="F371" s="234">
        <f t="shared" si="5"/>
        <v>0</v>
      </c>
    </row>
    <row r="372" spans="1:6" x14ac:dyDescent="0.25">
      <c r="A372" s="230">
        <v>20780</v>
      </c>
      <c r="B372" s="230" t="s">
        <v>630</v>
      </c>
      <c r="C372" s="228">
        <v>6</v>
      </c>
      <c r="D372" s="226">
        <v>5.56</v>
      </c>
      <c r="E372" s="226" t="s">
        <v>1047</v>
      </c>
      <c r="F372" s="234">
        <f t="shared" si="5"/>
        <v>33.36</v>
      </c>
    </row>
    <row r="373" spans="1:6" x14ac:dyDescent="0.25">
      <c r="A373" s="230">
        <v>20790</v>
      </c>
      <c r="B373" s="230" t="s">
        <v>631</v>
      </c>
      <c r="C373" s="228"/>
      <c r="D373" s="226">
        <v>7.7</v>
      </c>
      <c r="E373" s="226" t="s">
        <v>1047</v>
      </c>
      <c r="F373" s="234">
        <f t="shared" si="5"/>
        <v>0</v>
      </c>
    </row>
    <row r="374" spans="1:6" x14ac:dyDescent="0.25">
      <c r="A374" s="230">
        <v>20800</v>
      </c>
      <c r="B374" s="230" t="s">
        <v>632</v>
      </c>
      <c r="C374" s="228"/>
      <c r="D374" s="226">
        <v>10.29</v>
      </c>
      <c r="E374" s="226" t="s">
        <v>1047</v>
      </c>
      <c r="F374" s="234">
        <f t="shared" si="5"/>
        <v>0</v>
      </c>
    </row>
    <row r="375" spans="1:6" x14ac:dyDescent="0.25">
      <c r="A375" s="230">
        <v>20810</v>
      </c>
      <c r="B375" s="230" t="s">
        <v>633</v>
      </c>
      <c r="C375" s="228"/>
      <c r="D375" s="226">
        <v>14.56</v>
      </c>
      <c r="E375" s="226" t="s">
        <v>1047</v>
      </c>
      <c r="F375" s="234">
        <f t="shared" si="5"/>
        <v>0</v>
      </c>
    </row>
    <row r="376" spans="1:6" x14ac:dyDescent="0.25">
      <c r="A376" s="230">
        <v>20820</v>
      </c>
      <c r="B376" s="230" t="s">
        <v>348</v>
      </c>
      <c r="C376" s="228"/>
      <c r="D376" s="226">
        <v>22.97</v>
      </c>
      <c r="E376" s="226" t="s">
        <v>1047</v>
      </c>
      <c r="F376" s="234">
        <f t="shared" si="5"/>
        <v>0</v>
      </c>
    </row>
    <row r="377" spans="1:6" x14ac:dyDescent="0.25">
      <c r="A377" s="230">
        <v>20830</v>
      </c>
      <c r="B377" s="230" t="s">
        <v>349</v>
      </c>
      <c r="C377" s="228"/>
      <c r="D377" s="226">
        <v>65.099999999999994</v>
      </c>
      <c r="E377" s="226" t="s">
        <v>1047</v>
      </c>
      <c r="F377" s="234">
        <f t="shared" si="5"/>
        <v>0</v>
      </c>
    </row>
    <row r="378" spans="1:6" x14ac:dyDescent="0.25">
      <c r="A378" s="230">
        <v>20840</v>
      </c>
      <c r="B378" s="230" t="s">
        <v>350</v>
      </c>
      <c r="C378" s="228">
        <v>1</v>
      </c>
      <c r="D378" s="226">
        <v>1.64</v>
      </c>
      <c r="E378" s="226" t="s">
        <v>1047</v>
      </c>
      <c r="F378" s="234">
        <f t="shared" si="5"/>
        <v>1.64</v>
      </c>
    </row>
    <row r="379" spans="1:6" x14ac:dyDescent="0.25">
      <c r="A379" s="230">
        <v>20850</v>
      </c>
      <c r="B379" s="230" t="s">
        <v>351</v>
      </c>
      <c r="C379" s="228">
        <v>2</v>
      </c>
      <c r="D379" s="226">
        <v>1.21</v>
      </c>
      <c r="E379" s="226" t="s">
        <v>1047</v>
      </c>
      <c r="F379" s="234">
        <f t="shared" si="5"/>
        <v>2.42</v>
      </c>
    </row>
    <row r="380" spans="1:6" x14ac:dyDescent="0.25">
      <c r="A380" s="230">
        <v>20860</v>
      </c>
      <c r="B380" s="230" t="s">
        <v>352</v>
      </c>
      <c r="C380" s="229">
        <v>2</v>
      </c>
      <c r="D380" s="226">
        <v>2.5299999999999998</v>
      </c>
      <c r="E380" s="226" t="s">
        <v>1047</v>
      </c>
      <c r="F380" s="234">
        <f t="shared" si="5"/>
        <v>5.0599999999999996</v>
      </c>
    </row>
    <row r="381" spans="1:6" x14ac:dyDescent="0.25">
      <c r="A381" s="230">
        <v>20870</v>
      </c>
      <c r="B381" s="230" t="s">
        <v>353</v>
      </c>
      <c r="C381" s="229">
        <v>4</v>
      </c>
      <c r="D381" s="226">
        <v>1.62</v>
      </c>
      <c r="E381" s="226" t="s">
        <v>1047</v>
      </c>
      <c r="F381" s="234">
        <f t="shared" si="5"/>
        <v>6.48</v>
      </c>
    </row>
    <row r="382" spans="1:6" x14ac:dyDescent="0.25">
      <c r="A382" s="230">
        <v>20880</v>
      </c>
      <c r="B382" s="230" t="s">
        <v>354</v>
      </c>
      <c r="C382" s="229"/>
      <c r="D382" s="226">
        <v>1.68</v>
      </c>
      <c r="E382" s="226" t="s">
        <v>1047</v>
      </c>
      <c r="F382" s="234">
        <f t="shared" si="5"/>
        <v>0</v>
      </c>
    </row>
    <row r="383" spans="1:6" x14ac:dyDescent="0.25">
      <c r="A383" s="230">
        <v>20890</v>
      </c>
      <c r="B383" s="230" t="s">
        <v>355</v>
      </c>
      <c r="C383" s="228">
        <v>1</v>
      </c>
      <c r="D383" s="226">
        <v>3.39</v>
      </c>
      <c r="E383" s="226" t="s">
        <v>1047</v>
      </c>
      <c r="F383" s="234">
        <f t="shared" si="5"/>
        <v>3.39</v>
      </c>
    </row>
    <row r="384" spans="1:6" x14ac:dyDescent="0.25">
      <c r="A384" s="230">
        <v>20900</v>
      </c>
      <c r="B384" s="230" t="s">
        <v>356</v>
      </c>
      <c r="C384" s="228">
        <v>1</v>
      </c>
      <c r="D384" s="226">
        <v>3.57</v>
      </c>
      <c r="E384" s="226" t="s">
        <v>1047</v>
      </c>
      <c r="F384" s="234">
        <f t="shared" si="5"/>
        <v>3.57</v>
      </c>
    </row>
    <row r="385" spans="1:6" x14ac:dyDescent="0.25">
      <c r="A385" s="230">
        <v>20910</v>
      </c>
      <c r="B385" s="230" t="s">
        <v>357</v>
      </c>
      <c r="C385" s="228">
        <v>4</v>
      </c>
      <c r="D385" s="226">
        <v>5.16</v>
      </c>
      <c r="E385" s="226" t="s">
        <v>1047</v>
      </c>
      <c r="F385" s="234">
        <f t="shared" si="5"/>
        <v>20.64</v>
      </c>
    </row>
    <row r="386" spans="1:6" x14ac:dyDescent="0.25">
      <c r="A386" s="230">
        <v>20920</v>
      </c>
      <c r="B386" s="230" t="s">
        <v>358</v>
      </c>
      <c r="C386" s="228"/>
      <c r="D386" s="226">
        <v>8.84</v>
      </c>
      <c r="E386" s="226" t="s">
        <v>1047</v>
      </c>
      <c r="F386" s="234">
        <f t="shared" si="5"/>
        <v>0</v>
      </c>
    </row>
    <row r="387" spans="1:6" x14ac:dyDescent="0.25">
      <c r="A387" s="230">
        <v>20930</v>
      </c>
      <c r="B387" s="230" t="s">
        <v>359</v>
      </c>
      <c r="C387" s="228"/>
      <c r="D387" s="241"/>
      <c r="E387" s="226" t="s">
        <v>1047</v>
      </c>
      <c r="F387" s="234">
        <f t="shared" si="5"/>
        <v>0</v>
      </c>
    </row>
    <row r="388" spans="1:6" x14ac:dyDescent="0.25">
      <c r="A388" s="230">
        <v>20940</v>
      </c>
      <c r="B388" s="230" t="s">
        <v>360</v>
      </c>
      <c r="C388" s="228"/>
      <c r="D388" s="241"/>
      <c r="E388" s="226" t="s">
        <v>1047</v>
      </c>
      <c r="F388" s="234">
        <f t="shared" si="5"/>
        <v>0</v>
      </c>
    </row>
    <row r="389" spans="1:6" x14ac:dyDescent="0.25">
      <c r="A389" s="230">
        <v>20950</v>
      </c>
      <c r="B389" s="230" t="s">
        <v>889</v>
      </c>
      <c r="C389" s="228"/>
      <c r="D389" s="241"/>
      <c r="E389" s="226" t="s">
        <v>1047</v>
      </c>
      <c r="F389" s="234">
        <f t="shared" si="5"/>
        <v>0</v>
      </c>
    </row>
    <row r="390" spans="1:6" x14ac:dyDescent="0.25">
      <c r="A390" s="230">
        <v>20960</v>
      </c>
      <c r="B390" s="230" t="s">
        <v>890</v>
      </c>
      <c r="C390" s="228"/>
      <c r="D390" s="226">
        <v>4.75</v>
      </c>
      <c r="E390" s="226" t="s">
        <v>1047</v>
      </c>
      <c r="F390" s="234">
        <f t="shared" si="5"/>
        <v>0</v>
      </c>
    </row>
    <row r="391" spans="1:6" x14ac:dyDescent="0.25">
      <c r="A391" s="230">
        <v>20970</v>
      </c>
      <c r="B391" s="230" t="s">
        <v>891</v>
      </c>
      <c r="C391" s="228"/>
      <c r="D391" s="226">
        <v>5.45</v>
      </c>
      <c r="E391" s="226" t="s">
        <v>1047</v>
      </c>
      <c r="F391" s="234">
        <f t="shared" si="5"/>
        <v>0</v>
      </c>
    </row>
    <row r="392" spans="1:6" x14ac:dyDescent="0.25">
      <c r="A392" s="230">
        <v>20980</v>
      </c>
      <c r="B392" s="230" t="s">
        <v>892</v>
      </c>
      <c r="C392" s="228"/>
      <c r="D392" s="226">
        <v>5.56</v>
      </c>
      <c r="E392" s="226" t="s">
        <v>1047</v>
      </c>
      <c r="F392" s="234">
        <f t="shared" si="5"/>
        <v>0</v>
      </c>
    </row>
    <row r="393" spans="1:6" x14ac:dyDescent="0.25">
      <c r="A393" s="230">
        <v>20990</v>
      </c>
      <c r="B393" s="230" t="s">
        <v>893</v>
      </c>
      <c r="C393" s="228"/>
      <c r="D393" s="226"/>
      <c r="E393" s="226" t="s">
        <v>1047</v>
      </c>
      <c r="F393" s="234">
        <f t="shared" si="5"/>
        <v>0</v>
      </c>
    </row>
    <row r="394" spans="1:6" x14ac:dyDescent="0.25">
      <c r="A394" s="230">
        <v>21000</v>
      </c>
      <c r="B394" s="230" t="s">
        <v>894</v>
      </c>
      <c r="C394" s="228"/>
      <c r="D394" s="226">
        <v>8.9</v>
      </c>
      <c r="E394" s="226" t="s">
        <v>1047</v>
      </c>
      <c r="F394" s="234">
        <f t="shared" si="5"/>
        <v>0</v>
      </c>
    </row>
    <row r="395" spans="1:6" x14ac:dyDescent="0.25">
      <c r="A395" s="230">
        <v>21010</v>
      </c>
      <c r="B395" s="230" t="s">
        <v>895</v>
      </c>
      <c r="C395" s="228"/>
      <c r="D395" s="226">
        <v>9.51</v>
      </c>
      <c r="E395" s="226" t="s">
        <v>1047</v>
      </c>
      <c r="F395" s="234">
        <f t="shared" si="5"/>
        <v>0</v>
      </c>
    </row>
    <row r="396" spans="1:6" x14ac:dyDescent="0.25">
      <c r="A396" s="230">
        <v>21020</v>
      </c>
      <c r="B396" s="230" t="s">
        <v>896</v>
      </c>
      <c r="C396" s="228"/>
      <c r="D396" s="226">
        <v>7.91</v>
      </c>
      <c r="E396" s="226" t="s">
        <v>1047</v>
      </c>
      <c r="F396" s="234">
        <f t="shared" ref="F396:F459" si="6">C396*D396</f>
        <v>0</v>
      </c>
    </row>
    <row r="397" spans="1:6" x14ac:dyDescent="0.25">
      <c r="A397" s="230">
        <v>21030</v>
      </c>
      <c r="B397" s="230" t="s">
        <v>897</v>
      </c>
      <c r="C397" s="228"/>
      <c r="D397" s="226">
        <v>10.84</v>
      </c>
      <c r="E397" s="226" t="s">
        <v>1047</v>
      </c>
      <c r="F397" s="234">
        <f t="shared" si="6"/>
        <v>0</v>
      </c>
    </row>
    <row r="398" spans="1:6" x14ac:dyDescent="0.25">
      <c r="A398" s="230">
        <v>21040</v>
      </c>
      <c r="B398" s="230" t="s">
        <v>898</v>
      </c>
      <c r="C398" s="228"/>
      <c r="D398" s="226">
        <v>11.27</v>
      </c>
      <c r="E398" s="226" t="s">
        <v>1047</v>
      </c>
      <c r="F398" s="234">
        <f t="shared" si="6"/>
        <v>0</v>
      </c>
    </row>
    <row r="399" spans="1:6" x14ac:dyDescent="0.25">
      <c r="A399" s="230">
        <v>21050</v>
      </c>
      <c r="B399" s="230" t="s">
        <v>900</v>
      </c>
      <c r="C399" s="228"/>
      <c r="D399" s="226">
        <v>4.17</v>
      </c>
      <c r="E399" s="226" t="s">
        <v>1047</v>
      </c>
      <c r="F399" s="234">
        <f t="shared" si="6"/>
        <v>0</v>
      </c>
    </row>
    <row r="400" spans="1:6" x14ac:dyDescent="0.25">
      <c r="A400" s="230">
        <v>21060</v>
      </c>
      <c r="B400" s="230" t="s">
        <v>899</v>
      </c>
      <c r="C400" s="228"/>
      <c r="D400" s="226">
        <v>5.17</v>
      </c>
      <c r="E400" s="226" t="s">
        <v>1047</v>
      </c>
      <c r="F400" s="234">
        <f t="shared" si="6"/>
        <v>0</v>
      </c>
    </row>
    <row r="401" spans="1:6" x14ac:dyDescent="0.25">
      <c r="A401" s="230">
        <v>21070</v>
      </c>
      <c r="B401" s="230" t="s">
        <v>901</v>
      </c>
      <c r="C401" s="228">
        <v>1</v>
      </c>
      <c r="D401" s="226">
        <v>4.74</v>
      </c>
      <c r="E401" s="226" t="s">
        <v>1047</v>
      </c>
      <c r="F401" s="234">
        <f t="shared" si="6"/>
        <v>4.74</v>
      </c>
    </row>
    <row r="402" spans="1:6" x14ac:dyDescent="0.25">
      <c r="A402" s="230">
        <v>21080</v>
      </c>
      <c r="B402" s="230" t="s">
        <v>634</v>
      </c>
      <c r="C402" s="228"/>
      <c r="D402" s="226">
        <v>4.74</v>
      </c>
      <c r="E402" s="226" t="s">
        <v>1047</v>
      </c>
      <c r="F402" s="234">
        <f t="shared" si="6"/>
        <v>0</v>
      </c>
    </row>
    <row r="403" spans="1:6" x14ac:dyDescent="0.25">
      <c r="A403" s="230">
        <v>21090</v>
      </c>
      <c r="B403" s="230" t="s">
        <v>635</v>
      </c>
      <c r="C403" s="228"/>
      <c r="D403" s="226"/>
      <c r="E403" s="226" t="s">
        <v>1047</v>
      </c>
      <c r="F403" s="234">
        <f t="shared" si="6"/>
        <v>0</v>
      </c>
    </row>
    <row r="404" spans="1:6" x14ac:dyDescent="0.25">
      <c r="A404" s="230">
        <v>21100</v>
      </c>
      <c r="B404" s="230" t="s">
        <v>636</v>
      </c>
      <c r="C404" s="228"/>
      <c r="D404" s="226">
        <v>5.39</v>
      </c>
      <c r="E404" s="226" t="s">
        <v>1047</v>
      </c>
      <c r="F404" s="234">
        <f t="shared" si="6"/>
        <v>0</v>
      </c>
    </row>
    <row r="405" spans="1:6" x14ac:dyDescent="0.25">
      <c r="A405" s="230">
        <v>21110</v>
      </c>
      <c r="B405" s="230" t="s">
        <v>637</v>
      </c>
      <c r="C405" s="229"/>
      <c r="D405" s="241">
        <v>0</v>
      </c>
      <c r="E405" s="226" t="s">
        <v>1047</v>
      </c>
      <c r="F405" s="234">
        <f t="shared" si="6"/>
        <v>0</v>
      </c>
    </row>
    <row r="406" spans="1:6" x14ac:dyDescent="0.25">
      <c r="A406" s="230">
        <v>21120</v>
      </c>
      <c r="B406" s="230" t="s">
        <v>902</v>
      </c>
      <c r="C406" s="228"/>
      <c r="D406" s="226">
        <v>5.0999999999999996</v>
      </c>
      <c r="E406" s="226" t="s">
        <v>1047</v>
      </c>
      <c r="F406" s="234">
        <f t="shared" si="6"/>
        <v>0</v>
      </c>
    </row>
    <row r="407" spans="1:6" x14ac:dyDescent="0.25">
      <c r="A407" s="230">
        <v>21130</v>
      </c>
      <c r="B407" s="230" t="s">
        <v>638</v>
      </c>
      <c r="C407" s="228">
        <v>1</v>
      </c>
      <c r="D407" s="226">
        <v>5.39</v>
      </c>
      <c r="E407" s="226" t="s">
        <v>1047</v>
      </c>
      <c r="F407" s="234">
        <f t="shared" si="6"/>
        <v>5.39</v>
      </c>
    </row>
    <row r="408" spans="1:6" x14ac:dyDescent="0.25">
      <c r="A408" s="230">
        <v>21140</v>
      </c>
      <c r="B408" s="230" t="s">
        <v>639</v>
      </c>
      <c r="C408" s="228"/>
      <c r="D408" s="226">
        <v>7.78</v>
      </c>
      <c r="E408" s="226" t="s">
        <v>1047</v>
      </c>
      <c r="F408" s="234">
        <f t="shared" si="6"/>
        <v>0</v>
      </c>
    </row>
    <row r="409" spans="1:6" x14ac:dyDescent="0.25">
      <c r="A409" s="230">
        <v>21150</v>
      </c>
      <c r="B409" s="230" t="s">
        <v>640</v>
      </c>
      <c r="C409" s="228"/>
      <c r="D409" s="226">
        <v>6.56</v>
      </c>
      <c r="E409" s="226" t="s">
        <v>1047</v>
      </c>
      <c r="F409" s="234">
        <f t="shared" si="6"/>
        <v>0</v>
      </c>
    </row>
    <row r="410" spans="1:6" x14ac:dyDescent="0.25">
      <c r="A410" s="230">
        <v>21160</v>
      </c>
      <c r="B410" s="230" t="s">
        <v>641</v>
      </c>
      <c r="C410" s="228"/>
      <c r="D410" s="226">
        <v>8.52</v>
      </c>
      <c r="E410" s="226" t="s">
        <v>1047</v>
      </c>
      <c r="F410" s="234">
        <f t="shared" si="6"/>
        <v>0</v>
      </c>
    </row>
    <row r="411" spans="1:6" x14ac:dyDescent="0.25">
      <c r="A411" s="230">
        <v>21170</v>
      </c>
      <c r="B411" s="230" t="s">
        <v>642</v>
      </c>
      <c r="C411" s="228"/>
      <c r="D411" s="226">
        <v>7.97</v>
      </c>
      <c r="E411" s="226" t="s">
        <v>1047</v>
      </c>
      <c r="F411" s="234">
        <f t="shared" si="6"/>
        <v>0</v>
      </c>
    </row>
    <row r="412" spans="1:6" x14ac:dyDescent="0.25">
      <c r="A412" s="230">
        <v>21180</v>
      </c>
      <c r="B412" s="230" t="s">
        <v>903</v>
      </c>
      <c r="C412" s="228"/>
      <c r="D412" s="226">
        <v>12.34</v>
      </c>
      <c r="E412" s="226" t="s">
        <v>1047</v>
      </c>
      <c r="F412" s="234">
        <f t="shared" si="6"/>
        <v>0</v>
      </c>
    </row>
    <row r="413" spans="1:6" x14ac:dyDescent="0.25">
      <c r="A413" s="230">
        <v>21190</v>
      </c>
      <c r="B413" s="230" t="s">
        <v>904</v>
      </c>
      <c r="C413" s="228"/>
      <c r="D413" s="226">
        <v>10.39</v>
      </c>
      <c r="E413" s="226" t="s">
        <v>1047</v>
      </c>
      <c r="F413" s="234">
        <f t="shared" si="6"/>
        <v>0</v>
      </c>
    </row>
    <row r="414" spans="1:6" x14ac:dyDescent="0.25">
      <c r="A414" s="230">
        <v>21200</v>
      </c>
      <c r="B414" s="230" t="s">
        <v>643</v>
      </c>
      <c r="C414" s="228"/>
      <c r="D414" s="226">
        <v>12.52</v>
      </c>
      <c r="E414" s="226" t="s">
        <v>1047</v>
      </c>
      <c r="F414" s="234">
        <f t="shared" si="6"/>
        <v>0</v>
      </c>
    </row>
    <row r="415" spans="1:6" x14ac:dyDescent="0.25">
      <c r="A415" s="230">
        <v>21210</v>
      </c>
      <c r="B415" s="230" t="s">
        <v>644</v>
      </c>
      <c r="C415" s="228"/>
      <c r="D415" s="226">
        <v>5.88</v>
      </c>
      <c r="E415" s="226" t="s">
        <v>1047</v>
      </c>
      <c r="F415" s="234">
        <f t="shared" si="6"/>
        <v>0</v>
      </c>
    </row>
    <row r="416" spans="1:6" x14ac:dyDescent="0.25">
      <c r="A416" s="230">
        <v>21220</v>
      </c>
      <c r="B416" s="230" t="s">
        <v>645</v>
      </c>
      <c r="C416" s="228"/>
      <c r="D416" s="226">
        <v>6.25</v>
      </c>
      <c r="E416" s="226" t="s">
        <v>1047</v>
      </c>
      <c r="F416" s="234">
        <f t="shared" si="6"/>
        <v>0</v>
      </c>
    </row>
    <row r="417" spans="1:6" x14ac:dyDescent="0.25">
      <c r="A417" s="230">
        <v>21230</v>
      </c>
      <c r="B417" s="230" t="s">
        <v>905</v>
      </c>
      <c r="C417" s="228"/>
      <c r="D417" s="241">
        <v>7.09</v>
      </c>
      <c r="E417" s="226" t="s">
        <v>1047</v>
      </c>
      <c r="F417" s="234">
        <f t="shared" si="6"/>
        <v>0</v>
      </c>
    </row>
    <row r="418" spans="1:6" x14ac:dyDescent="0.25">
      <c r="A418" s="230">
        <v>21240</v>
      </c>
      <c r="B418" s="230" t="s">
        <v>906</v>
      </c>
      <c r="C418" s="228"/>
      <c r="D418" s="226">
        <v>7.09</v>
      </c>
      <c r="E418" s="226" t="s">
        <v>1047</v>
      </c>
      <c r="F418" s="234">
        <f t="shared" si="6"/>
        <v>0</v>
      </c>
    </row>
    <row r="419" spans="1:6" x14ac:dyDescent="0.25">
      <c r="A419" s="230">
        <v>21250</v>
      </c>
      <c r="B419" s="230" t="s">
        <v>1016</v>
      </c>
      <c r="C419" s="228"/>
      <c r="D419" s="226"/>
      <c r="E419" s="226" t="s">
        <v>1047</v>
      </c>
      <c r="F419" s="234">
        <f t="shared" si="6"/>
        <v>0</v>
      </c>
    </row>
    <row r="420" spans="1:6" x14ac:dyDescent="0.25">
      <c r="A420" s="230">
        <v>21260</v>
      </c>
      <c r="B420" s="230" t="s">
        <v>646</v>
      </c>
      <c r="C420" s="228"/>
      <c r="D420" s="226">
        <v>8.82</v>
      </c>
      <c r="E420" s="226" t="s">
        <v>1047</v>
      </c>
      <c r="F420" s="234">
        <f t="shared" si="6"/>
        <v>0</v>
      </c>
    </row>
    <row r="421" spans="1:6" x14ac:dyDescent="0.25">
      <c r="A421" s="230">
        <v>21270</v>
      </c>
      <c r="B421" s="230" t="s">
        <v>362</v>
      </c>
      <c r="C421" s="228"/>
      <c r="D421" s="226">
        <v>9.25</v>
      </c>
      <c r="E421" s="226" t="s">
        <v>1047</v>
      </c>
      <c r="F421" s="234">
        <f t="shared" si="6"/>
        <v>0</v>
      </c>
    </row>
    <row r="422" spans="1:6" x14ac:dyDescent="0.25">
      <c r="A422" s="230">
        <v>21280</v>
      </c>
      <c r="B422" s="237" t="s">
        <v>363</v>
      </c>
      <c r="C422" s="228"/>
      <c r="D422" s="226">
        <v>12.84</v>
      </c>
      <c r="E422" s="226" t="s">
        <v>1047</v>
      </c>
      <c r="F422" s="234">
        <f t="shared" si="6"/>
        <v>0</v>
      </c>
    </row>
    <row r="423" spans="1:6" x14ac:dyDescent="0.25">
      <c r="A423" s="230">
        <v>21290</v>
      </c>
      <c r="B423" s="237" t="s">
        <v>649</v>
      </c>
      <c r="C423" s="229"/>
      <c r="D423" s="241">
        <v>34.340000000000003</v>
      </c>
      <c r="E423" s="226" t="s">
        <v>1047</v>
      </c>
      <c r="F423" s="234">
        <f t="shared" si="6"/>
        <v>0</v>
      </c>
    </row>
    <row r="424" spans="1:6" x14ac:dyDescent="0.25">
      <c r="A424" s="230">
        <v>21300</v>
      </c>
      <c r="B424" s="237" t="s">
        <v>909</v>
      </c>
      <c r="C424" s="228"/>
      <c r="D424" s="241">
        <v>5.01</v>
      </c>
      <c r="E424" s="226" t="s">
        <v>1047</v>
      </c>
      <c r="F424" s="234">
        <f t="shared" si="6"/>
        <v>0</v>
      </c>
    </row>
    <row r="425" spans="1:6" x14ac:dyDescent="0.25">
      <c r="A425" s="230">
        <v>23000</v>
      </c>
      <c r="B425" s="236" t="s">
        <v>383</v>
      </c>
      <c r="C425" s="228">
        <v>10</v>
      </c>
      <c r="D425" s="226">
        <v>6.88</v>
      </c>
      <c r="E425" s="226" t="s">
        <v>1047</v>
      </c>
      <c r="F425" s="234">
        <f t="shared" si="6"/>
        <v>68.8</v>
      </c>
    </row>
    <row r="426" spans="1:6" x14ac:dyDescent="0.25">
      <c r="A426" s="230">
        <v>23010</v>
      </c>
      <c r="B426" s="236" t="s">
        <v>384</v>
      </c>
      <c r="C426" s="229"/>
      <c r="D426" s="226">
        <v>7.47</v>
      </c>
      <c r="E426" s="226" t="s">
        <v>1047</v>
      </c>
      <c r="F426" s="234">
        <f t="shared" si="6"/>
        <v>0</v>
      </c>
    </row>
    <row r="427" spans="1:6" x14ac:dyDescent="0.25">
      <c r="A427" s="230">
        <v>23020</v>
      </c>
      <c r="B427" s="236" t="s">
        <v>385</v>
      </c>
      <c r="C427" s="228"/>
      <c r="D427" s="226">
        <v>9.8800000000000008</v>
      </c>
      <c r="E427" s="226" t="s">
        <v>1047</v>
      </c>
      <c r="F427" s="234">
        <f t="shared" si="6"/>
        <v>0</v>
      </c>
    </row>
    <row r="428" spans="1:6" x14ac:dyDescent="0.25">
      <c r="A428" s="230">
        <v>23030</v>
      </c>
      <c r="B428" s="236" t="s">
        <v>386</v>
      </c>
      <c r="C428" s="229"/>
      <c r="D428" s="226">
        <v>11.88</v>
      </c>
      <c r="E428" s="226" t="s">
        <v>1047</v>
      </c>
      <c r="F428" s="234">
        <f t="shared" si="6"/>
        <v>0</v>
      </c>
    </row>
    <row r="429" spans="1:6" x14ac:dyDescent="0.25">
      <c r="A429" s="230">
        <v>23040</v>
      </c>
      <c r="B429" s="236" t="s">
        <v>387</v>
      </c>
      <c r="C429" s="228"/>
      <c r="D429" s="241">
        <v>14.7</v>
      </c>
      <c r="E429" s="226" t="s">
        <v>1047</v>
      </c>
      <c r="F429" s="234">
        <f t="shared" si="6"/>
        <v>0</v>
      </c>
    </row>
    <row r="430" spans="1:6" x14ac:dyDescent="0.25">
      <c r="A430" s="230">
        <v>23050</v>
      </c>
      <c r="B430" s="236" t="s">
        <v>388</v>
      </c>
      <c r="C430" s="229">
        <v>10</v>
      </c>
      <c r="D430" s="226">
        <v>16.72</v>
      </c>
      <c r="E430" s="226" t="s">
        <v>1047</v>
      </c>
      <c r="F430" s="234">
        <f t="shared" si="6"/>
        <v>167.2</v>
      </c>
    </row>
    <row r="431" spans="1:6" x14ac:dyDescent="0.25">
      <c r="A431" s="230">
        <v>23060</v>
      </c>
      <c r="B431" s="236" t="s">
        <v>389</v>
      </c>
      <c r="C431" s="228"/>
      <c r="D431" s="226">
        <v>18.78</v>
      </c>
      <c r="E431" s="226" t="s">
        <v>1047</v>
      </c>
      <c r="F431" s="234">
        <f t="shared" si="6"/>
        <v>0</v>
      </c>
    </row>
    <row r="432" spans="1:6" x14ac:dyDescent="0.25">
      <c r="A432" s="230">
        <v>23070</v>
      </c>
      <c r="B432" s="236" t="s">
        <v>390</v>
      </c>
      <c r="C432" s="228"/>
      <c r="D432" s="226">
        <v>23.33</v>
      </c>
      <c r="E432" s="226" t="s">
        <v>1047</v>
      </c>
      <c r="F432" s="234">
        <f t="shared" si="6"/>
        <v>0</v>
      </c>
    </row>
    <row r="433" spans="1:6" x14ac:dyDescent="0.25">
      <c r="A433" s="230">
        <v>23080</v>
      </c>
      <c r="B433" s="236" t="s">
        <v>391</v>
      </c>
      <c r="C433" s="228"/>
      <c r="D433" s="226">
        <v>48.44</v>
      </c>
      <c r="E433" s="226" t="s">
        <v>1047</v>
      </c>
      <c r="F433" s="234">
        <f t="shared" si="6"/>
        <v>0</v>
      </c>
    </row>
    <row r="434" spans="1:6" x14ac:dyDescent="0.25">
      <c r="A434" s="230">
        <v>23090</v>
      </c>
      <c r="B434" s="236" t="s">
        <v>392</v>
      </c>
      <c r="C434" s="228"/>
      <c r="D434" s="241"/>
      <c r="E434" s="226" t="s">
        <v>1047</v>
      </c>
      <c r="F434" s="234">
        <f t="shared" si="6"/>
        <v>0</v>
      </c>
    </row>
    <row r="435" spans="1:6" x14ac:dyDescent="0.25">
      <c r="A435" s="230">
        <v>23100</v>
      </c>
      <c r="B435" s="236" t="s">
        <v>393</v>
      </c>
      <c r="C435" s="228"/>
      <c r="D435" s="241"/>
      <c r="E435" s="226" t="s">
        <v>1047</v>
      </c>
      <c r="F435" s="234">
        <f t="shared" si="6"/>
        <v>0</v>
      </c>
    </row>
    <row r="436" spans="1:6" x14ac:dyDescent="0.25">
      <c r="A436" s="230">
        <v>23110</v>
      </c>
      <c r="B436" s="236" t="s">
        <v>394</v>
      </c>
      <c r="C436" s="228">
        <v>23</v>
      </c>
      <c r="D436" s="226">
        <v>19.82</v>
      </c>
      <c r="E436" s="226" t="s">
        <v>1047</v>
      </c>
      <c r="F436" s="234">
        <f t="shared" si="6"/>
        <v>455.86</v>
      </c>
    </row>
    <row r="437" spans="1:6" x14ac:dyDescent="0.25">
      <c r="A437" s="230">
        <v>23120</v>
      </c>
      <c r="B437" s="236" t="s">
        <v>395</v>
      </c>
      <c r="C437" s="228">
        <v>28</v>
      </c>
      <c r="D437" s="226">
        <v>25.48</v>
      </c>
      <c r="E437" s="226" t="s">
        <v>1047</v>
      </c>
      <c r="F437" s="234">
        <f t="shared" si="6"/>
        <v>713.44</v>
      </c>
    </row>
    <row r="438" spans="1:6" x14ac:dyDescent="0.25">
      <c r="A438" s="230">
        <v>23130</v>
      </c>
      <c r="B438" s="236" t="s">
        <v>396</v>
      </c>
      <c r="C438" s="228">
        <v>29</v>
      </c>
      <c r="D438" s="226">
        <v>27.67</v>
      </c>
      <c r="E438" s="226" t="s">
        <v>1047</v>
      </c>
      <c r="F438" s="234">
        <f t="shared" si="6"/>
        <v>802.43000000000006</v>
      </c>
    </row>
    <row r="439" spans="1:6" x14ac:dyDescent="0.25">
      <c r="A439" s="230">
        <v>23140</v>
      </c>
      <c r="B439" s="236" t="s">
        <v>912</v>
      </c>
      <c r="C439" s="228">
        <v>14</v>
      </c>
      <c r="D439" s="226">
        <v>30.9</v>
      </c>
      <c r="E439" s="226" t="s">
        <v>1047</v>
      </c>
      <c r="F439" s="234">
        <f t="shared" si="6"/>
        <v>432.59999999999997</v>
      </c>
    </row>
    <row r="440" spans="1:6" x14ac:dyDescent="0.25">
      <c r="A440" s="230">
        <v>23150</v>
      </c>
      <c r="B440" s="236" t="s">
        <v>397</v>
      </c>
      <c r="C440" s="228"/>
      <c r="D440" s="226">
        <v>34.270000000000003</v>
      </c>
      <c r="E440" s="226" t="s">
        <v>1047</v>
      </c>
      <c r="F440" s="234">
        <f t="shared" si="6"/>
        <v>0</v>
      </c>
    </row>
    <row r="441" spans="1:6" x14ac:dyDescent="0.25">
      <c r="A441" s="230">
        <v>23160</v>
      </c>
      <c r="B441" s="237" t="s">
        <v>398</v>
      </c>
      <c r="C441" s="228">
        <v>7</v>
      </c>
      <c r="D441" s="226">
        <v>38.950000000000003</v>
      </c>
      <c r="E441" s="226" t="s">
        <v>1047</v>
      </c>
      <c r="F441" s="234">
        <f t="shared" si="6"/>
        <v>272.65000000000003</v>
      </c>
    </row>
    <row r="442" spans="1:6" x14ac:dyDescent="0.25">
      <c r="A442" s="230">
        <v>23170</v>
      </c>
      <c r="B442" s="236" t="s">
        <v>399</v>
      </c>
      <c r="C442" s="228">
        <v>6</v>
      </c>
      <c r="D442" s="226">
        <v>47.52</v>
      </c>
      <c r="E442" s="226" t="s">
        <v>1047</v>
      </c>
      <c r="F442" s="234">
        <f t="shared" si="6"/>
        <v>285.12</v>
      </c>
    </row>
    <row r="443" spans="1:6" x14ac:dyDescent="0.25">
      <c r="A443" s="230">
        <v>23180</v>
      </c>
      <c r="B443" s="236" t="s">
        <v>400</v>
      </c>
      <c r="C443" s="228">
        <v>8</v>
      </c>
      <c r="D443" s="226">
        <v>56.35</v>
      </c>
      <c r="E443" s="226" t="s">
        <v>1047</v>
      </c>
      <c r="F443" s="234">
        <f t="shared" si="6"/>
        <v>450.8</v>
      </c>
    </row>
    <row r="444" spans="1:6" x14ac:dyDescent="0.25">
      <c r="A444" s="230">
        <v>23190</v>
      </c>
      <c r="B444" s="236" t="s">
        <v>401</v>
      </c>
      <c r="C444" s="228">
        <v>1</v>
      </c>
      <c r="D444" s="226">
        <v>67.78</v>
      </c>
      <c r="E444" s="226" t="s">
        <v>1047</v>
      </c>
      <c r="F444" s="234">
        <f t="shared" si="6"/>
        <v>67.78</v>
      </c>
    </row>
    <row r="445" spans="1:6" x14ac:dyDescent="0.25">
      <c r="A445" s="230">
        <v>23200</v>
      </c>
      <c r="B445" s="236" t="s">
        <v>402</v>
      </c>
      <c r="C445" s="228"/>
      <c r="D445" s="226"/>
      <c r="E445" s="226" t="s">
        <v>1047</v>
      </c>
      <c r="F445" s="234">
        <f t="shared" si="6"/>
        <v>0</v>
      </c>
    </row>
    <row r="446" spans="1:6" x14ac:dyDescent="0.25">
      <c r="A446" s="230">
        <v>23210</v>
      </c>
      <c r="B446" s="236" t="s">
        <v>1745</v>
      </c>
      <c r="C446" s="228"/>
      <c r="D446" s="226"/>
      <c r="E446" s="226" t="s">
        <v>1047</v>
      </c>
      <c r="F446" s="234">
        <f t="shared" si="6"/>
        <v>0</v>
      </c>
    </row>
    <row r="447" spans="1:6" x14ac:dyDescent="0.25">
      <c r="A447" s="230">
        <v>23220</v>
      </c>
      <c r="B447" s="236" t="s">
        <v>403</v>
      </c>
      <c r="C447" s="228"/>
      <c r="D447" s="226">
        <v>23.02</v>
      </c>
      <c r="E447" s="226" t="s">
        <v>1047</v>
      </c>
      <c r="F447" s="234">
        <f t="shared" si="6"/>
        <v>0</v>
      </c>
    </row>
    <row r="448" spans="1:6" x14ac:dyDescent="0.25">
      <c r="A448" s="230">
        <v>23230</v>
      </c>
      <c r="B448" s="236" t="s">
        <v>404</v>
      </c>
      <c r="C448" s="228"/>
      <c r="D448" s="226">
        <v>31.3</v>
      </c>
      <c r="E448" s="226" t="s">
        <v>1047</v>
      </c>
      <c r="F448" s="234">
        <f t="shared" si="6"/>
        <v>0</v>
      </c>
    </row>
    <row r="449" spans="1:6" x14ac:dyDescent="0.25">
      <c r="A449" s="230">
        <v>23240</v>
      </c>
      <c r="B449" s="237" t="s">
        <v>405</v>
      </c>
      <c r="C449" s="228"/>
      <c r="D449" s="226">
        <v>34.520000000000003</v>
      </c>
      <c r="E449" s="226" t="s">
        <v>1047</v>
      </c>
      <c r="F449" s="234">
        <f t="shared" si="6"/>
        <v>0</v>
      </c>
    </row>
    <row r="450" spans="1:6" x14ac:dyDescent="0.25">
      <c r="A450" s="230">
        <v>23250</v>
      </c>
      <c r="B450" s="236" t="s">
        <v>406</v>
      </c>
      <c r="C450" s="226"/>
      <c r="D450" s="226">
        <v>36.96</v>
      </c>
      <c r="E450" s="226" t="s">
        <v>1047</v>
      </c>
      <c r="F450" s="234">
        <f t="shared" si="6"/>
        <v>0</v>
      </c>
    </row>
    <row r="451" spans="1:6" x14ac:dyDescent="0.25">
      <c r="A451" s="230">
        <v>23260</v>
      </c>
      <c r="B451" s="236" t="s">
        <v>407</v>
      </c>
      <c r="C451" s="228"/>
      <c r="D451" s="226">
        <v>41.43</v>
      </c>
      <c r="E451" s="226" t="s">
        <v>1047</v>
      </c>
      <c r="F451" s="234">
        <f t="shared" si="6"/>
        <v>0</v>
      </c>
    </row>
    <row r="452" spans="1:6" x14ac:dyDescent="0.25">
      <c r="A452" s="230">
        <v>23270</v>
      </c>
      <c r="B452" s="236" t="s">
        <v>408</v>
      </c>
      <c r="C452" s="228"/>
      <c r="D452" s="226">
        <v>46.38</v>
      </c>
      <c r="E452" s="226" t="s">
        <v>1047</v>
      </c>
      <c r="F452" s="234">
        <f t="shared" si="6"/>
        <v>0</v>
      </c>
    </row>
    <row r="453" spans="1:6" x14ac:dyDescent="0.25">
      <c r="A453" s="230">
        <v>23280</v>
      </c>
      <c r="B453" s="236" t="s">
        <v>409</v>
      </c>
      <c r="C453" s="228"/>
      <c r="D453" s="226">
        <v>54.98</v>
      </c>
      <c r="E453" s="226" t="s">
        <v>1047</v>
      </c>
      <c r="F453" s="234">
        <f t="shared" si="6"/>
        <v>0</v>
      </c>
    </row>
    <row r="454" spans="1:6" x14ac:dyDescent="0.25">
      <c r="A454" s="230">
        <v>23290</v>
      </c>
      <c r="B454" s="236" t="s">
        <v>410</v>
      </c>
      <c r="C454" s="228"/>
      <c r="D454" s="226"/>
      <c r="E454" s="226" t="s">
        <v>1047</v>
      </c>
      <c r="F454" s="234">
        <f t="shared" si="6"/>
        <v>0</v>
      </c>
    </row>
    <row r="455" spans="1:6" x14ac:dyDescent="0.25">
      <c r="A455" s="230">
        <v>23300</v>
      </c>
      <c r="B455" s="236" t="s">
        <v>411</v>
      </c>
      <c r="C455" s="228"/>
      <c r="D455" s="226"/>
      <c r="E455" s="226" t="s">
        <v>1047</v>
      </c>
      <c r="F455" s="234">
        <f t="shared" si="6"/>
        <v>0</v>
      </c>
    </row>
    <row r="456" spans="1:6" x14ac:dyDescent="0.25">
      <c r="A456" s="230">
        <v>23310</v>
      </c>
      <c r="B456" s="236" t="s">
        <v>412</v>
      </c>
      <c r="C456" s="228"/>
      <c r="D456" s="226"/>
      <c r="E456" s="226" t="s">
        <v>1047</v>
      </c>
      <c r="F456" s="234">
        <f t="shared" si="6"/>
        <v>0</v>
      </c>
    </row>
    <row r="457" spans="1:6" x14ac:dyDescent="0.25">
      <c r="A457" s="230">
        <v>23320</v>
      </c>
      <c r="B457" s="236" t="s">
        <v>413</v>
      </c>
      <c r="C457" s="228"/>
      <c r="D457" s="226"/>
      <c r="E457" s="226" t="s">
        <v>1047</v>
      </c>
      <c r="F457" s="234">
        <f t="shared" si="6"/>
        <v>0</v>
      </c>
    </row>
    <row r="458" spans="1:6" x14ac:dyDescent="0.25">
      <c r="A458" s="230">
        <v>23330</v>
      </c>
      <c r="B458" s="236" t="s">
        <v>414</v>
      </c>
      <c r="C458" s="228"/>
      <c r="D458" s="226">
        <v>33.229999999999997</v>
      </c>
      <c r="E458" s="226" t="s">
        <v>1047</v>
      </c>
      <c r="F458" s="234">
        <f t="shared" si="6"/>
        <v>0</v>
      </c>
    </row>
    <row r="459" spans="1:6" x14ac:dyDescent="0.25">
      <c r="A459" s="230">
        <v>23340</v>
      </c>
      <c r="B459" s="236" t="s">
        <v>415</v>
      </c>
      <c r="C459" s="228"/>
      <c r="D459" s="226">
        <v>38.590000000000003</v>
      </c>
      <c r="E459" s="226" t="s">
        <v>1047</v>
      </c>
      <c r="F459" s="234">
        <f t="shared" si="6"/>
        <v>0</v>
      </c>
    </row>
    <row r="460" spans="1:6" x14ac:dyDescent="0.25">
      <c r="A460" s="230">
        <v>23350</v>
      </c>
      <c r="B460" s="237" t="s">
        <v>416</v>
      </c>
      <c r="C460" s="228"/>
      <c r="D460" s="226">
        <v>42.48</v>
      </c>
      <c r="E460" s="226" t="s">
        <v>1047</v>
      </c>
      <c r="F460" s="234">
        <f t="shared" ref="F460:F523" si="7">C460*D460</f>
        <v>0</v>
      </c>
    </row>
    <row r="461" spans="1:6" x14ac:dyDescent="0.25">
      <c r="A461" s="230">
        <v>23360</v>
      </c>
      <c r="B461" s="236" t="s">
        <v>417</v>
      </c>
      <c r="C461" s="228"/>
      <c r="D461" s="226">
        <v>47.33</v>
      </c>
      <c r="E461" s="226" t="s">
        <v>1047</v>
      </c>
      <c r="F461" s="234">
        <f t="shared" si="7"/>
        <v>0</v>
      </c>
    </row>
    <row r="462" spans="1:6" x14ac:dyDescent="0.25">
      <c r="A462" s="230">
        <v>23370</v>
      </c>
      <c r="B462" s="236" t="s">
        <v>418</v>
      </c>
      <c r="C462" s="228"/>
      <c r="D462" s="226">
        <v>52.2</v>
      </c>
      <c r="E462" s="226" t="s">
        <v>1047</v>
      </c>
      <c r="F462" s="234">
        <f t="shared" si="7"/>
        <v>0</v>
      </c>
    </row>
    <row r="463" spans="1:6" x14ac:dyDescent="0.25">
      <c r="A463" s="230">
        <v>23380</v>
      </c>
      <c r="B463" s="236" t="s">
        <v>419</v>
      </c>
      <c r="C463" s="229"/>
      <c r="D463" s="226">
        <v>57.48</v>
      </c>
      <c r="E463" s="226" t="s">
        <v>1047</v>
      </c>
      <c r="F463" s="234">
        <f t="shared" si="7"/>
        <v>0</v>
      </c>
    </row>
    <row r="464" spans="1:6" x14ac:dyDescent="0.25">
      <c r="A464" s="230">
        <v>23390</v>
      </c>
      <c r="B464" s="236" t="s">
        <v>420</v>
      </c>
      <c r="C464" s="228"/>
      <c r="D464" s="226">
        <v>70.58</v>
      </c>
      <c r="E464" s="226" t="s">
        <v>1047</v>
      </c>
      <c r="F464" s="234">
        <f t="shared" si="7"/>
        <v>0</v>
      </c>
    </row>
    <row r="465" spans="1:6" x14ac:dyDescent="0.25">
      <c r="A465" s="230">
        <v>23400</v>
      </c>
      <c r="B465" s="236" t="s">
        <v>421</v>
      </c>
      <c r="C465" s="228"/>
      <c r="D465" s="226">
        <v>86.83</v>
      </c>
      <c r="E465" s="226" t="s">
        <v>1047</v>
      </c>
      <c r="F465" s="234">
        <f t="shared" si="7"/>
        <v>0</v>
      </c>
    </row>
    <row r="466" spans="1:6" x14ac:dyDescent="0.25">
      <c r="A466" s="230">
        <v>23410</v>
      </c>
      <c r="B466" s="236" t="s">
        <v>422</v>
      </c>
      <c r="C466" s="228"/>
      <c r="D466" s="226">
        <v>100.63</v>
      </c>
      <c r="E466" s="226" t="s">
        <v>1047</v>
      </c>
      <c r="F466" s="234">
        <f t="shared" si="7"/>
        <v>0</v>
      </c>
    </row>
    <row r="467" spans="1:6" x14ac:dyDescent="0.25">
      <c r="A467" s="230">
        <v>23420</v>
      </c>
      <c r="B467" s="236" t="s">
        <v>423</v>
      </c>
      <c r="C467" s="228"/>
      <c r="D467" s="226">
        <v>119.6</v>
      </c>
      <c r="E467" s="226" t="s">
        <v>1047</v>
      </c>
      <c r="F467" s="234">
        <f t="shared" si="7"/>
        <v>0</v>
      </c>
    </row>
    <row r="468" spans="1:6" x14ac:dyDescent="0.25">
      <c r="A468" s="230">
        <v>23430</v>
      </c>
      <c r="B468" s="236" t="s">
        <v>424</v>
      </c>
      <c r="C468" s="229"/>
      <c r="D468" s="226"/>
      <c r="E468" s="226" t="s">
        <v>1047</v>
      </c>
      <c r="F468" s="234">
        <f t="shared" si="7"/>
        <v>0</v>
      </c>
    </row>
    <row r="469" spans="1:6" x14ac:dyDescent="0.25">
      <c r="A469" s="230">
        <v>24000</v>
      </c>
      <c r="B469" s="236" t="s">
        <v>425</v>
      </c>
      <c r="C469" s="228">
        <v>16</v>
      </c>
      <c r="D469" s="226">
        <v>4.1500000000000004</v>
      </c>
      <c r="E469" s="226" t="s">
        <v>1047</v>
      </c>
      <c r="F469" s="234">
        <f t="shared" si="7"/>
        <v>66.400000000000006</v>
      </c>
    </row>
    <row r="470" spans="1:6" x14ac:dyDescent="0.25">
      <c r="A470" s="230">
        <v>24010</v>
      </c>
      <c r="B470" s="236" t="s">
        <v>426</v>
      </c>
      <c r="C470" s="228"/>
      <c r="D470" s="226">
        <v>1.25</v>
      </c>
      <c r="E470" s="226" t="s">
        <v>1047</v>
      </c>
      <c r="F470" s="234">
        <f t="shared" si="7"/>
        <v>0</v>
      </c>
    </row>
    <row r="471" spans="1:6" x14ac:dyDescent="0.25">
      <c r="A471" s="230">
        <v>24020</v>
      </c>
      <c r="B471" s="236" t="s">
        <v>427</v>
      </c>
      <c r="C471" s="229">
        <v>24</v>
      </c>
      <c r="D471" s="226">
        <v>0.51</v>
      </c>
      <c r="E471" s="226" t="s">
        <v>1047</v>
      </c>
      <c r="F471" s="234">
        <f t="shared" si="7"/>
        <v>12.24</v>
      </c>
    </row>
    <row r="472" spans="1:6" x14ac:dyDescent="0.25">
      <c r="A472" s="230">
        <v>24030</v>
      </c>
      <c r="B472" s="236" t="s">
        <v>1789</v>
      </c>
      <c r="C472" s="228"/>
      <c r="D472" s="226">
        <v>1.1599999999999999</v>
      </c>
      <c r="E472" s="226" t="s">
        <v>1047</v>
      </c>
      <c r="F472" s="234">
        <f t="shared" si="7"/>
        <v>0</v>
      </c>
    </row>
    <row r="473" spans="1:6" x14ac:dyDescent="0.25">
      <c r="A473" s="230">
        <v>24040</v>
      </c>
      <c r="B473" s="236" t="s">
        <v>428</v>
      </c>
      <c r="C473" s="228">
        <v>12</v>
      </c>
      <c r="D473" s="226">
        <v>0.46</v>
      </c>
      <c r="E473" s="226" t="s">
        <v>1047</v>
      </c>
      <c r="F473" s="234">
        <f t="shared" si="7"/>
        <v>5.5200000000000005</v>
      </c>
    </row>
    <row r="474" spans="1:6" x14ac:dyDescent="0.25">
      <c r="A474" s="230">
        <v>24050</v>
      </c>
      <c r="B474" s="236" t="s">
        <v>429</v>
      </c>
      <c r="C474" s="228">
        <v>12</v>
      </c>
      <c r="D474" s="226">
        <v>0.39</v>
      </c>
      <c r="E474" s="226" t="s">
        <v>1047</v>
      </c>
      <c r="F474" s="234">
        <f t="shared" si="7"/>
        <v>4.68</v>
      </c>
    </row>
    <row r="475" spans="1:6" x14ac:dyDescent="0.25">
      <c r="A475" s="230">
        <v>24060</v>
      </c>
      <c r="B475" s="236" t="s">
        <v>430</v>
      </c>
      <c r="C475" s="228">
        <v>12</v>
      </c>
      <c r="D475" s="226">
        <v>0.43</v>
      </c>
      <c r="E475" s="226" t="s">
        <v>1047</v>
      </c>
      <c r="F475" s="234">
        <f t="shared" si="7"/>
        <v>5.16</v>
      </c>
    </row>
    <row r="476" spans="1:6" x14ac:dyDescent="0.25">
      <c r="A476" s="230">
        <v>24070</v>
      </c>
      <c r="B476" s="236" t="s">
        <v>431</v>
      </c>
      <c r="C476" s="229"/>
      <c r="D476" s="226">
        <v>0.67</v>
      </c>
      <c r="E476" s="226" t="s">
        <v>1047</v>
      </c>
      <c r="F476" s="234">
        <f t="shared" si="7"/>
        <v>0</v>
      </c>
    </row>
    <row r="477" spans="1:6" x14ac:dyDescent="0.25">
      <c r="A477" s="230">
        <v>24080</v>
      </c>
      <c r="B477" s="236" t="s">
        <v>432</v>
      </c>
      <c r="C477" s="228">
        <v>12</v>
      </c>
      <c r="D477" s="226">
        <v>0.66</v>
      </c>
      <c r="E477" s="226" t="s">
        <v>1047</v>
      </c>
      <c r="F477" s="234">
        <f t="shared" si="7"/>
        <v>7.92</v>
      </c>
    </row>
    <row r="478" spans="1:6" x14ac:dyDescent="0.25">
      <c r="A478" s="230">
        <v>24090</v>
      </c>
      <c r="B478" s="236" t="s">
        <v>654</v>
      </c>
      <c r="C478" s="228">
        <v>8</v>
      </c>
      <c r="D478" s="226">
        <v>1.5</v>
      </c>
      <c r="E478" s="226" t="s">
        <v>1047</v>
      </c>
      <c r="F478" s="234">
        <f t="shared" si="7"/>
        <v>12</v>
      </c>
    </row>
    <row r="479" spans="1:6" x14ac:dyDescent="0.25">
      <c r="A479" s="230">
        <v>24100</v>
      </c>
      <c r="B479" s="236" t="s">
        <v>913</v>
      </c>
      <c r="C479" s="228"/>
      <c r="D479" s="226">
        <v>12.35</v>
      </c>
      <c r="E479" s="226" t="s">
        <v>1047</v>
      </c>
      <c r="F479" s="234">
        <f t="shared" si="7"/>
        <v>0</v>
      </c>
    </row>
    <row r="480" spans="1:6" x14ac:dyDescent="0.25">
      <c r="A480" s="230">
        <v>24110</v>
      </c>
      <c r="B480" s="236" t="s">
        <v>655</v>
      </c>
      <c r="C480" s="228"/>
      <c r="D480" s="226">
        <v>1.4</v>
      </c>
      <c r="E480" s="226" t="s">
        <v>1047</v>
      </c>
      <c r="F480" s="234">
        <f t="shared" si="7"/>
        <v>0</v>
      </c>
    </row>
    <row r="481" spans="1:6" x14ac:dyDescent="0.25">
      <c r="A481" s="230">
        <v>24120</v>
      </c>
      <c r="B481" s="236" t="s">
        <v>656</v>
      </c>
      <c r="C481" s="228"/>
      <c r="D481" s="226">
        <v>0.82</v>
      </c>
      <c r="E481" s="226" t="s">
        <v>1047</v>
      </c>
      <c r="F481" s="234">
        <f t="shared" si="7"/>
        <v>0</v>
      </c>
    </row>
    <row r="482" spans="1:6" x14ac:dyDescent="0.25">
      <c r="A482" s="230">
        <v>24130</v>
      </c>
      <c r="B482" s="236" t="s">
        <v>435</v>
      </c>
      <c r="C482" s="228"/>
      <c r="D482" s="226">
        <v>0.66</v>
      </c>
      <c r="E482" s="226" t="s">
        <v>1047</v>
      </c>
      <c r="F482" s="234">
        <f t="shared" si="7"/>
        <v>0</v>
      </c>
    </row>
    <row r="483" spans="1:6" x14ac:dyDescent="0.25">
      <c r="A483" s="230">
        <v>24140</v>
      </c>
      <c r="B483" s="236" t="s">
        <v>1372</v>
      </c>
      <c r="C483" s="260"/>
      <c r="D483" s="226">
        <v>1.25</v>
      </c>
      <c r="E483" s="259" t="s">
        <v>1047</v>
      </c>
      <c r="F483" s="234">
        <f t="shared" si="7"/>
        <v>0</v>
      </c>
    </row>
    <row r="484" spans="1:6" x14ac:dyDescent="0.25">
      <c r="A484" s="230">
        <v>24150</v>
      </c>
      <c r="B484" s="236" t="s">
        <v>658</v>
      </c>
      <c r="C484" s="228"/>
      <c r="D484" s="226">
        <v>0.89</v>
      </c>
      <c r="E484" s="226" t="s">
        <v>1047</v>
      </c>
      <c r="F484" s="234">
        <f t="shared" si="7"/>
        <v>0</v>
      </c>
    </row>
    <row r="485" spans="1:6" x14ac:dyDescent="0.25">
      <c r="A485" s="230">
        <v>24160</v>
      </c>
      <c r="B485" s="236" t="s">
        <v>659</v>
      </c>
      <c r="C485" s="229">
        <v>10</v>
      </c>
      <c r="D485" s="226">
        <v>23.48</v>
      </c>
      <c r="E485" s="226" t="s">
        <v>1047</v>
      </c>
      <c r="F485" s="234">
        <f t="shared" si="7"/>
        <v>234.8</v>
      </c>
    </row>
    <row r="486" spans="1:6" x14ac:dyDescent="0.25">
      <c r="A486" s="230">
        <v>24170</v>
      </c>
      <c r="B486" s="236" t="s">
        <v>660</v>
      </c>
      <c r="C486" s="228">
        <v>8</v>
      </c>
      <c r="D486" s="226">
        <v>1.98</v>
      </c>
      <c r="E486" s="226" t="s">
        <v>1047</v>
      </c>
      <c r="F486" s="234">
        <f t="shared" si="7"/>
        <v>15.84</v>
      </c>
    </row>
    <row r="487" spans="1:6" x14ac:dyDescent="0.25">
      <c r="A487" s="258">
        <v>24175</v>
      </c>
      <c r="B487" s="259" t="s">
        <v>1775</v>
      </c>
      <c r="C487" s="229"/>
      <c r="D487" s="226">
        <v>2.14</v>
      </c>
      <c r="E487" s="226" t="s">
        <v>1047</v>
      </c>
      <c r="F487" s="234">
        <f t="shared" si="7"/>
        <v>0</v>
      </c>
    </row>
    <row r="488" spans="1:6" x14ac:dyDescent="0.25">
      <c r="A488" s="230">
        <v>24180</v>
      </c>
      <c r="B488" s="236" t="s">
        <v>661</v>
      </c>
      <c r="C488" s="229">
        <v>8</v>
      </c>
      <c r="D488" s="226">
        <v>4.0599999999999996</v>
      </c>
      <c r="E488" s="226" t="s">
        <v>1047</v>
      </c>
      <c r="F488" s="234">
        <f t="shared" si="7"/>
        <v>32.479999999999997</v>
      </c>
    </row>
    <row r="489" spans="1:6" x14ac:dyDescent="0.25">
      <c r="A489" s="230">
        <v>24190</v>
      </c>
      <c r="B489" s="236" t="s">
        <v>662</v>
      </c>
      <c r="C489" s="228"/>
      <c r="D489" s="241">
        <v>1.87</v>
      </c>
      <c r="E489" s="226" t="s">
        <v>1047</v>
      </c>
      <c r="F489" s="234">
        <f t="shared" si="7"/>
        <v>0</v>
      </c>
    </row>
    <row r="490" spans="1:6" x14ac:dyDescent="0.25">
      <c r="A490" s="230">
        <v>24200</v>
      </c>
      <c r="B490" s="236" t="s">
        <v>436</v>
      </c>
      <c r="C490" s="228">
        <v>8</v>
      </c>
      <c r="D490" s="226">
        <v>0.88</v>
      </c>
      <c r="E490" s="226" t="s">
        <v>1047</v>
      </c>
      <c r="F490" s="234">
        <f t="shared" si="7"/>
        <v>7.04</v>
      </c>
    </row>
    <row r="491" spans="1:6" x14ac:dyDescent="0.25">
      <c r="A491" s="230">
        <v>24210</v>
      </c>
      <c r="B491" s="236" t="s">
        <v>433</v>
      </c>
      <c r="C491" s="228"/>
      <c r="D491" s="226">
        <v>30.24</v>
      </c>
      <c r="E491" s="226" t="s">
        <v>1047</v>
      </c>
      <c r="F491" s="234">
        <f t="shared" si="7"/>
        <v>0</v>
      </c>
    </row>
    <row r="492" spans="1:6" x14ac:dyDescent="0.25">
      <c r="A492" s="230">
        <v>24220</v>
      </c>
      <c r="B492" s="236" t="s">
        <v>663</v>
      </c>
      <c r="C492" s="228"/>
      <c r="D492" s="226">
        <v>6.47</v>
      </c>
      <c r="E492" s="226" t="s">
        <v>1047</v>
      </c>
      <c r="F492" s="234">
        <f t="shared" si="7"/>
        <v>0</v>
      </c>
    </row>
    <row r="493" spans="1:6" x14ac:dyDescent="0.25">
      <c r="A493" s="230">
        <v>24230</v>
      </c>
      <c r="B493" s="236" t="s">
        <v>434</v>
      </c>
      <c r="C493" s="229"/>
      <c r="D493" s="241">
        <v>8.6300000000000008</v>
      </c>
      <c r="E493" s="226" t="s">
        <v>1047</v>
      </c>
      <c r="F493" s="234">
        <f t="shared" si="7"/>
        <v>0</v>
      </c>
    </row>
    <row r="494" spans="1:6" x14ac:dyDescent="0.25">
      <c r="A494" s="230">
        <v>24240</v>
      </c>
      <c r="B494" s="236" t="s">
        <v>664</v>
      </c>
      <c r="C494" s="229"/>
      <c r="D494" s="226">
        <v>3.06</v>
      </c>
      <c r="E494" s="226" t="s">
        <v>1047</v>
      </c>
      <c r="F494" s="234">
        <f t="shared" si="7"/>
        <v>0</v>
      </c>
    </row>
    <row r="495" spans="1:6" x14ac:dyDescent="0.25">
      <c r="A495" s="230">
        <v>25000</v>
      </c>
      <c r="B495" s="236" t="s">
        <v>1790</v>
      </c>
      <c r="C495" s="228"/>
      <c r="D495" s="226">
        <v>6.99</v>
      </c>
      <c r="E495" s="226" t="s">
        <v>1047</v>
      </c>
      <c r="F495" s="234">
        <f t="shared" si="7"/>
        <v>0</v>
      </c>
    </row>
    <row r="496" spans="1:6" x14ac:dyDescent="0.25">
      <c r="A496" s="230">
        <v>25010</v>
      </c>
      <c r="B496" s="236" t="s">
        <v>1791</v>
      </c>
      <c r="C496" s="229"/>
      <c r="D496" s="226">
        <v>12.28</v>
      </c>
      <c r="E496" s="226" t="s">
        <v>1047</v>
      </c>
      <c r="F496" s="234">
        <f t="shared" si="7"/>
        <v>0</v>
      </c>
    </row>
    <row r="497" spans="1:6" x14ac:dyDescent="0.25">
      <c r="A497" s="230">
        <v>25020</v>
      </c>
      <c r="B497" s="236" t="s">
        <v>1792</v>
      </c>
      <c r="C497" s="228"/>
      <c r="D497" s="226">
        <v>12.33</v>
      </c>
      <c r="E497" s="226" t="s">
        <v>1047</v>
      </c>
      <c r="F497" s="234">
        <f t="shared" si="7"/>
        <v>0</v>
      </c>
    </row>
    <row r="498" spans="1:6" x14ac:dyDescent="0.25">
      <c r="A498" s="230">
        <v>25030</v>
      </c>
      <c r="B498" s="236" t="s">
        <v>1793</v>
      </c>
      <c r="C498" s="229"/>
      <c r="D498" s="226">
        <v>36.72</v>
      </c>
      <c r="E498" s="226" t="s">
        <v>1047</v>
      </c>
      <c r="F498" s="234">
        <f t="shared" si="7"/>
        <v>0</v>
      </c>
    </row>
    <row r="499" spans="1:6" x14ac:dyDescent="0.25">
      <c r="A499" s="230">
        <v>25040</v>
      </c>
      <c r="B499" s="236" t="s">
        <v>682</v>
      </c>
      <c r="C499" s="228"/>
      <c r="D499" s="241">
        <v>104.09</v>
      </c>
      <c r="E499" s="226" t="s">
        <v>1047</v>
      </c>
      <c r="F499" s="234">
        <f t="shared" si="7"/>
        <v>0</v>
      </c>
    </row>
    <row r="500" spans="1:6" x14ac:dyDescent="0.25">
      <c r="A500" s="230">
        <v>25050</v>
      </c>
      <c r="B500" s="226" t="s">
        <v>1726</v>
      </c>
      <c r="C500" s="228"/>
      <c r="D500" s="241">
        <v>0</v>
      </c>
      <c r="E500" s="226" t="s">
        <v>1047</v>
      </c>
      <c r="F500" s="234">
        <f t="shared" si="7"/>
        <v>0</v>
      </c>
    </row>
    <row r="501" spans="1:6" x14ac:dyDescent="0.25">
      <c r="A501" s="230">
        <v>25060</v>
      </c>
      <c r="B501" s="236" t="s">
        <v>1794</v>
      </c>
      <c r="C501" s="228"/>
      <c r="D501" s="241">
        <v>10.82</v>
      </c>
      <c r="E501" s="226" t="s">
        <v>1047</v>
      </c>
      <c r="F501" s="234">
        <f t="shared" si="7"/>
        <v>0</v>
      </c>
    </row>
    <row r="502" spans="1:6" x14ac:dyDescent="0.25">
      <c r="A502" s="230">
        <v>25070</v>
      </c>
      <c r="B502" s="236" t="s">
        <v>1795</v>
      </c>
      <c r="C502" s="228"/>
      <c r="D502" s="241">
        <v>39.659999999999997</v>
      </c>
      <c r="E502" s="226" t="s">
        <v>1047</v>
      </c>
      <c r="F502" s="234">
        <f t="shared" si="7"/>
        <v>0</v>
      </c>
    </row>
    <row r="503" spans="1:6" x14ac:dyDescent="0.25">
      <c r="A503" s="230">
        <v>25080</v>
      </c>
      <c r="B503" s="236" t="s">
        <v>1796</v>
      </c>
      <c r="C503" s="228"/>
      <c r="D503" s="226">
        <v>150.35</v>
      </c>
      <c r="E503" s="226" t="s">
        <v>1047</v>
      </c>
      <c r="F503" s="234">
        <f t="shared" si="7"/>
        <v>0</v>
      </c>
    </row>
    <row r="504" spans="1:6" x14ac:dyDescent="0.25">
      <c r="A504" s="230">
        <v>25090</v>
      </c>
      <c r="B504" s="236" t="s">
        <v>1797</v>
      </c>
      <c r="C504" s="228"/>
      <c r="D504" s="241">
        <v>0</v>
      </c>
      <c r="E504" s="226" t="s">
        <v>1047</v>
      </c>
      <c r="F504" s="234">
        <f t="shared" si="7"/>
        <v>0</v>
      </c>
    </row>
    <row r="505" spans="1:6" x14ac:dyDescent="0.25">
      <c r="A505" s="230">
        <v>25100</v>
      </c>
      <c r="B505" s="236" t="s">
        <v>1798</v>
      </c>
      <c r="C505" s="228">
        <v>7</v>
      </c>
      <c r="D505" s="226">
        <v>32.97</v>
      </c>
      <c r="E505" s="226" t="s">
        <v>1047</v>
      </c>
      <c r="F505" s="234">
        <f t="shared" si="7"/>
        <v>230.79</v>
      </c>
    </row>
    <row r="506" spans="1:6" x14ac:dyDescent="0.25">
      <c r="A506" s="230">
        <v>25110</v>
      </c>
      <c r="B506" s="226" t="s">
        <v>1799</v>
      </c>
      <c r="C506" s="228">
        <v>7</v>
      </c>
      <c r="D506" s="226">
        <v>42.59</v>
      </c>
      <c r="E506" s="226" t="s">
        <v>1047</v>
      </c>
      <c r="F506" s="234">
        <f t="shared" si="7"/>
        <v>298.13</v>
      </c>
    </row>
    <row r="507" spans="1:6" x14ac:dyDescent="0.25">
      <c r="A507" s="230">
        <v>25120</v>
      </c>
      <c r="B507" s="236" t="s">
        <v>1800</v>
      </c>
      <c r="C507" s="228">
        <v>1</v>
      </c>
      <c r="D507" s="226">
        <v>28.16</v>
      </c>
      <c r="E507" s="226" t="s">
        <v>1047</v>
      </c>
      <c r="F507" s="234">
        <f t="shared" si="7"/>
        <v>28.16</v>
      </c>
    </row>
    <row r="508" spans="1:6" x14ac:dyDescent="0.25">
      <c r="A508" s="230">
        <v>25130</v>
      </c>
      <c r="B508" s="226" t="s">
        <v>1801</v>
      </c>
      <c r="C508" s="228">
        <v>1</v>
      </c>
      <c r="D508" s="226">
        <v>70.069999999999993</v>
      </c>
      <c r="E508" s="226" t="s">
        <v>1047</v>
      </c>
      <c r="F508" s="234">
        <f t="shared" si="7"/>
        <v>70.069999999999993</v>
      </c>
    </row>
    <row r="509" spans="1:6" x14ac:dyDescent="0.25">
      <c r="A509" s="230">
        <v>25140</v>
      </c>
      <c r="B509" s="236" t="s">
        <v>1802</v>
      </c>
      <c r="C509" s="228"/>
      <c r="D509" s="241">
        <v>147.5</v>
      </c>
      <c r="E509" s="226" t="s">
        <v>1047</v>
      </c>
      <c r="F509" s="234">
        <f t="shared" si="7"/>
        <v>0</v>
      </c>
    </row>
    <row r="510" spans="1:6" x14ac:dyDescent="0.25">
      <c r="A510" s="230">
        <v>25150</v>
      </c>
      <c r="B510" s="236" t="s">
        <v>1803</v>
      </c>
      <c r="C510" s="228"/>
      <c r="D510" s="241">
        <v>0</v>
      </c>
      <c r="E510" s="226" t="s">
        <v>1047</v>
      </c>
      <c r="F510" s="234">
        <f t="shared" si="7"/>
        <v>0</v>
      </c>
    </row>
    <row r="511" spans="1:6" x14ac:dyDescent="0.25">
      <c r="A511" s="230">
        <v>25160</v>
      </c>
      <c r="B511" s="236" t="s">
        <v>1804</v>
      </c>
      <c r="C511" s="228">
        <v>4</v>
      </c>
      <c r="D511" s="241">
        <v>160.99</v>
      </c>
      <c r="E511" s="226" t="s">
        <v>1047</v>
      </c>
      <c r="F511" s="234">
        <f t="shared" si="7"/>
        <v>643.96</v>
      </c>
    </row>
    <row r="512" spans="1:6" x14ac:dyDescent="0.25">
      <c r="A512" s="230">
        <v>25170</v>
      </c>
      <c r="B512" s="236" t="s">
        <v>1805</v>
      </c>
      <c r="C512" s="228">
        <v>4</v>
      </c>
      <c r="D512" s="241">
        <v>0</v>
      </c>
      <c r="E512" s="226" t="s">
        <v>1047</v>
      </c>
      <c r="F512" s="234">
        <f t="shared" si="7"/>
        <v>0</v>
      </c>
    </row>
    <row r="513" spans="1:6" x14ac:dyDescent="0.25">
      <c r="A513" s="230">
        <v>25180</v>
      </c>
      <c r="B513" s="236" t="s">
        <v>684</v>
      </c>
      <c r="C513" s="228"/>
      <c r="D513" s="226">
        <v>203.05</v>
      </c>
      <c r="E513" s="226" t="s">
        <v>1047</v>
      </c>
      <c r="F513" s="234">
        <f t="shared" si="7"/>
        <v>0</v>
      </c>
    </row>
    <row r="514" spans="1:6" x14ac:dyDescent="0.25">
      <c r="A514" s="230">
        <v>25190</v>
      </c>
      <c r="B514" s="236" t="s">
        <v>919</v>
      </c>
      <c r="C514" s="228">
        <v>1</v>
      </c>
      <c r="D514" s="241">
        <v>242.06</v>
      </c>
      <c r="E514" s="226" t="s">
        <v>1047</v>
      </c>
      <c r="F514" s="234">
        <f t="shared" si="7"/>
        <v>242.06</v>
      </c>
    </row>
    <row r="515" spans="1:6" x14ac:dyDescent="0.25">
      <c r="A515" s="230">
        <v>25200</v>
      </c>
      <c r="B515" s="236" t="s">
        <v>685</v>
      </c>
      <c r="C515" s="228"/>
      <c r="D515" s="241">
        <v>60</v>
      </c>
      <c r="E515" s="226" t="s">
        <v>1047</v>
      </c>
      <c r="F515" s="234">
        <f t="shared" si="7"/>
        <v>0</v>
      </c>
    </row>
    <row r="516" spans="1:6" x14ac:dyDescent="0.25">
      <c r="A516" s="230">
        <v>25210</v>
      </c>
      <c r="B516" s="237" t="s">
        <v>907</v>
      </c>
      <c r="C516" s="228"/>
      <c r="D516" s="241">
        <v>18.52</v>
      </c>
      <c r="E516" s="226" t="s">
        <v>1047</v>
      </c>
      <c r="F516" s="234">
        <f t="shared" si="7"/>
        <v>0</v>
      </c>
    </row>
    <row r="517" spans="1:6" x14ac:dyDescent="0.25">
      <c r="A517" s="230">
        <v>25220</v>
      </c>
      <c r="B517" s="237" t="s">
        <v>911</v>
      </c>
      <c r="C517" s="228"/>
      <c r="D517" s="241">
        <v>20.95</v>
      </c>
      <c r="E517" s="226" t="s">
        <v>1047</v>
      </c>
      <c r="F517" s="234">
        <f t="shared" si="7"/>
        <v>0</v>
      </c>
    </row>
    <row r="518" spans="1:6" x14ac:dyDescent="0.25">
      <c r="A518" s="230">
        <v>25230</v>
      </c>
      <c r="B518" s="236" t="s">
        <v>1806</v>
      </c>
      <c r="C518" s="228"/>
      <c r="D518" s="241">
        <v>2.2400000000000002</v>
      </c>
      <c r="E518" s="226" t="s">
        <v>1047</v>
      </c>
      <c r="F518" s="234">
        <f t="shared" si="7"/>
        <v>0</v>
      </c>
    </row>
    <row r="519" spans="1:6" x14ac:dyDescent="0.25">
      <c r="A519" s="230">
        <v>25240</v>
      </c>
      <c r="B519" s="236" t="s">
        <v>1807</v>
      </c>
      <c r="C519" s="226"/>
      <c r="D519" s="241">
        <v>2.5299999999999998</v>
      </c>
      <c r="E519" s="226" t="s">
        <v>1047</v>
      </c>
      <c r="F519" s="234">
        <f t="shared" si="7"/>
        <v>0</v>
      </c>
    </row>
    <row r="520" spans="1:6" x14ac:dyDescent="0.25">
      <c r="A520" s="230">
        <v>25250</v>
      </c>
      <c r="B520" s="236" t="s">
        <v>1808</v>
      </c>
      <c r="C520" s="226"/>
      <c r="D520" s="241">
        <v>3.1</v>
      </c>
      <c r="E520" s="226" t="s">
        <v>1047</v>
      </c>
      <c r="F520" s="234">
        <f t="shared" si="7"/>
        <v>0</v>
      </c>
    </row>
    <row r="521" spans="1:6" x14ac:dyDescent="0.25">
      <c r="A521" s="230">
        <v>25260</v>
      </c>
      <c r="B521" s="236" t="s">
        <v>1809</v>
      </c>
      <c r="C521" s="226"/>
      <c r="D521" s="241">
        <v>3.33</v>
      </c>
      <c r="E521" s="226" t="s">
        <v>1047</v>
      </c>
      <c r="F521" s="234">
        <f t="shared" si="7"/>
        <v>0</v>
      </c>
    </row>
    <row r="522" spans="1:6" x14ac:dyDescent="0.25">
      <c r="A522" s="230">
        <v>25270</v>
      </c>
      <c r="B522" s="236" t="s">
        <v>1810</v>
      </c>
      <c r="C522" s="226"/>
      <c r="D522" s="241">
        <v>3.67</v>
      </c>
      <c r="E522" s="226" t="s">
        <v>1047</v>
      </c>
      <c r="F522" s="234">
        <f t="shared" si="7"/>
        <v>0</v>
      </c>
    </row>
    <row r="523" spans="1:6" x14ac:dyDescent="0.25">
      <c r="A523" s="230">
        <v>25280</v>
      </c>
      <c r="B523" s="236" t="s">
        <v>1811</v>
      </c>
      <c r="C523" s="226"/>
      <c r="D523" s="241">
        <v>3.68</v>
      </c>
      <c r="E523" s="226" t="s">
        <v>1047</v>
      </c>
      <c r="F523" s="234">
        <f t="shared" si="7"/>
        <v>0</v>
      </c>
    </row>
    <row r="524" spans="1:6" x14ac:dyDescent="0.25">
      <c r="A524" s="230">
        <v>25290</v>
      </c>
      <c r="B524" s="236" t="s">
        <v>1812</v>
      </c>
      <c r="C524" s="226"/>
      <c r="D524" s="241">
        <v>6.07</v>
      </c>
      <c r="E524" s="226" t="s">
        <v>1047</v>
      </c>
      <c r="F524" s="234">
        <f t="shared" ref="F524:F587" si="8">C524*D524</f>
        <v>0</v>
      </c>
    </row>
    <row r="525" spans="1:6" x14ac:dyDescent="0.25">
      <c r="A525" s="230">
        <v>26000</v>
      </c>
      <c r="B525" s="230" t="s">
        <v>1813</v>
      </c>
      <c r="C525" s="226">
        <v>14</v>
      </c>
      <c r="D525" s="241">
        <v>3.71</v>
      </c>
      <c r="E525" s="226" t="s">
        <v>1047</v>
      </c>
      <c r="F525" s="234">
        <f t="shared" si="8"/>
        <v>51.94</v>
      </c>
    </row>
    <row r="526" spans="1:6" x14ac:dyDescent="0.25">
      <c r="A526" s="230">
        <v>26010</v>
      </c>
      <c r="B526" s="230" t="s">
        <v>971</v>
      </c>
      <c r="C526" s="226"/>
      <c r="D526" s="241">
        <v>3.48</v>
      </c>
      <c r="E526" s="226" t="s">
        <v>1047</v>
      </c>
      <c r="F526" s="234">
        <f t="shared" si="8"/>
        <v>0</v>
      </c>
    </row>
    <row r="527" spans="1:6" x14ac:dyDescent="0.25">
      <c r="A527" s="230">
        <v>26020</v>
      </c>
      <c r="B527" s="230" t="s">
        <v>737</v>
      </c>
      <c r="C527" s="226"/>
      <c r="D527" s="241">
        <v>4.68</v>
      </c>
      <c r="E527" s="226" t="s">
        <v>1047</v>
      </c>
      <c r="F527" s="234">
        <f t="shared" si="8"/>
        <v>0</v>
      </c>
    </row>
    <row r="528" spans="1:6" x14ac:dyDescent="0.25">
      <c r="A528" s="230">
        <v>26030</v>
      </c>
      <c r="B528" s="230" t="s">
        <v>533</v>
      </c>
      <c r="C528" s="226">
        <v>9</v>
      </c>
      <c r="D528" s="241">
        <v>24.51</v>
      </c>
      <c r="E528" s="226" t="s">
        <v>1047</v>
      </c>
      <c r="F528" s="234">
        <f t="shared" si="8"/>
        <v>220.59</v>
      </c>
    </row>
    <row r="529" spans="1:6" x14ac:dyDescent="0.25">
      <c r="A529" s="230">
        <v>26040</v>
      </c>
      <c r="B529" s="230" t="s">
        <v>972</v>
      </c>
      <c r="C529" s="226"/>
      <c r="D529" s="241">
        <v>20.83</v>
      </c>
      <c r="E529" s="226" t="s">
        <v>1047</v>
      </c>
      <c r="F529" s="234">
        <f t="shared" si="8"/>
        <v>0</v>
      </c>
    </row>
    <row r="530" spans="1:6" x14ac:dyDescent="0.25">
      <c r="A530" s="230">
        <v>26050</v>
      </c>
      <c r="B530" s="230" t="s">
        <v>973</v>
      </c>
      <c r="C530" s="226">
        <v>2</v>
      </c>
      <c r="D530" s="241">
        <v>40.75</v>
      </c>
      <c r="E530" s="226" t="s">
        <v>1047</v>
      </c>
      <c r="F530" s="234">
        <f t="shared" si="8"/>
        <v>81.5</v>
      </c>
    </row>
    <row r="531" spans="1:6" x14ac:dyDescent="0.25">
      <c r="A531" s="230">
        <v>26060</v>
      </c>
      <c r="B531" s="230" t="s">
        <v>738</v>
      </c>
      <c r="C531" s="226"/>
      <c r="D531" s="241">
        <v>22.06</v>
      </c>
      <c r="E531" s="226" t="s">
        <v>1047</v>
      </c>
      <c r="F531" s="234">
        <f t="shared" si="8"/>
        <v>0</v>
      </c>
    </row>
    <row r="532" spans="1:6" x14ac:dyDescent="0.25">
      <c r="A532" s="230">
        <v>26070</v>
      </c>
      <c r="B532" s="230" t="s">
        <v>976</v>
      </c>
      <c r="C532" s="226"/>
      <c r="D532" s="241">
        <v>28</v>
      </c>
      <c r="E532" s="226" t="s">
        <v>1047</v>
      </c>
      <c r="F532" s="234">
        <f t="shared" si="8"/>
        <v>0</v>
      </c>
    </row>
    <row r="533" spans="1:6" x14ac:dyDescent="0.25">
      <c r="A533" s="230">
        <v>26080</v>
      </c>
      <c r="B533" s="230" t="s">
        <v>534</v>
      </c>
      <c r="C533" s="226"/>
      <c r="D533" s="241">
        <v>13.03</v>
      </c>
      <c r="E533" s="226" t="s">
        <v>1047</v>
      </c>
      <c r="F533" s="234">
        <f t="shared" si="8"/>
        <v>0</v>
      </c>
    </row>
    <row r="534" spans="1:6" x14ac:dyDescent="0.25">
      <c r="A534" s="230">
        <v>26090</v>
      </c>
      <c r="B534" s="230" t="s">
        <v>974</v>
      </c>
      <c r="C534" s="226"/>
      <c r="D534" s="241">
        <v>28</v>
      </c>
      <c r="E534" s="226" t="s">
        <v>1047</v>
      </c>
      <c r="F534" s="234">
        <f t="shared" si="8"/>
        <v>0</v>
      </c>
    </row>
    <row r="535" spans="1:6" x14ac:dyDescent="0.25">
      <c r="A535" s="230">
        <v>26100</v>
      </c>
      <c r="B535" s="230" t="s">
        <v>975</v>
      </c>
      <c r="C535" s="228"/>
      <c r="D535" s="241">
        <v>48.5</v>
      </c>
      <c r="E535" s="226" t="s">
        <v>1047</v>
      </c>
      <c r="F535" s="234">
        <f t="shared" si="8"/>
        <v>0</v>
      </c>
    </row>
    <row r="536" spans="1:6" x14ac:dyDescent="0.25">
      <c r="A536" s="230">
        <v>26110</v>
      </c>
      <c r="B536" s="230" t="s">
        <v>977</v>
      </c>
      <c r="C536" s="228"/>
      <c r="D536" s="241">
        <v>55.24</v>
      </c>
      <c r="E536" s="226" t="s">
        <v>1047</v>
      </c>
      <c r="F536" s="234">
        <f t="shared" si="8"/>
        <v>0</v>
      </c>
    </row>
    <row r="537" spans="1:6" x14ac:dyDescent="0.25">
      <c r="A537" s="230">
        <v>26120</v>
      </c>
      <c r="B537" s="230" t="s">
        <v>1448</v>
      </c>
      <c r="C537" s="228">
        <v>3</v>
      </c>
      <c r="D537" s="241">
        <v>33.81</v>
      </c>
      <c r="E537" s="226" t="s">
        <v>1047</v>
      </c>
      <c r="F537" s="234">
        <f t="shared" si="8"/>
        <v>101.43</v>
      </c>
    </row>
    <row r="538" spans="1:6" x14ac:dyDescent="0.25">
      <c r="A538" s="230">
        <v>26500</v>
      </c>
      <c r="B538" s="236" t="s">
        <v>914</v>
      </c>
      <c r="C538" s="228">
        <v>7</v>
      </c>
      <c r="D538" s="241">
        <v>30</v>
      </c>
      <c r="E538" s="226" t="s">
        <v>1047</v>
      </c>
      <c r="F538" s="234">
        <f t="shared" si="8"/>
        <v>210</v>
      </c>
    </row>
    <row r="539" spans="1:6" x14ac:dyDescent="0.25">
      <c r="A539" s="230">
        <v>26510</v>
      </c>
      <c r="B539" s="236" t="s">
        <v>915</v>
      </c>
      <c r="C539" s="228">
        <v>7</v>
      </c>
      <c r="D539" s="226">
        <v>22.75</v>
      </c>
      <c r="E539" s="226" t="s">
        <v>1047</v>
      </c>
      <c r="F539" s="234">
        <f t="shared" si="8"/>
        <v>159.25</v>
      </c>
    </row>
    <row r="540" spans="1:6" x14ac:dyDescent="0.25">
      <c r="A540" s="230">
        <v>26520</v>
      </c>
      <c r="B540" s="236" t="s">
        <v>665</v>
      </c>
      <c r="C540" s="228">
        <v>7</v>
      </c>
      <c r="D540" s="226">
        <v>13.26</v>
      </c>
      <c r="E540" s="226" t="s">
        <v>1047</v>
      </c>
      <c r="F540" s="234">
        <f t="shared" si="8"/>
        <v>92.82</v>
      </c>
    </row>
    <row r="541" spans="1:6" x14ac:dyDescent="0.25">
      <c r="A541" s="230">
        <v>26530</v>
      </c>
      <c r="B541" s="236" t="s">
        <v>442</v>
      </c>
      <c r="C541" s="228"/>
      <c r="D541" s="241"/>
      <c r="E541" s="226" t="s">
        <v>1047</v>
      </c>
      <c r="F541" s="234">
        <f t="shared" si="8"/>
        <v>0</v>
      </c>
    </row>
    <row r="542" spans="1:6" x14ac:dyDescent="0.25">
      <c r="A542" s="230">
        <v>26540</v>
      </c>
      <c r="B542" s="236" t="s">
        <v>443</v>
      </c>
      <c r="C542" s="228"/>
      <c r="D542" s="241"/>
      <c r="E542" s="226" t="s">
        <v>1047</v>
      </c>
      <c r="F542" s="234">
        <f t="shared" si="8"/>
        <v>0</v>
      </c>
    </row>
    <row r="543" spans="1:6" x14ac:dyDescent="0.25">
      <c r="A543" s="230">
        <v>26550</v>
      </c>
      <c r="B543" s="236" t="s">
        <v>444</v>
      </c>
      <c r="C543" s="228"/>
      <c r="D543" s="241"/>
      <c r="E543" s="226" t="s">
        <v>1047</v>
      </c>
      <c r="F543" s="234">
        <f t="shared" si="8"/>
        <v>0</v>
      </c>
    </row>
    <row r="544" spans="1:6" x14ac:dyDescent="0.25">
      <c r="A544" s="230">
        <v>26560</v>
      </c>
      <c r="B544" s="236" t="s">
        <v>705</v>
      </c>
      <c r="C544" s="228"/>
      <c r="D544" s="241">
        <v>291.39</v>
      </c>
      <c r="E544" s="226" t="s">
        <v>1047</v>
      </c>
      <c r="F544" s="234">
        <f t="shared" si="8"/>
        <v>0</v>
      </c>
    </row>
    <row r="545" spans="1:6" x14ac:dyDescent="0.25">
      <c r="A545" s="230">
        <v>26570</v>
      </c>
      <c r="B545" s="236" t="s">
        <v>920</v>
      </c>
      <c r="C545" s="228"/>
      <c r="D545" s="241">
        <v>1291.73</v>
      </c>
      <c r="E545" s="226" t="s">
        <v>1047</v>
      </c>
      <c r="F545" s="234">
        <f t="shared" si="8"/>
        <v>0</v>
      </c>
    </row>
    <row r="546" spans="1:6" x14ac:dyDescent="0.25">
      <c r="A546" s="230">
        <v>26580</v>
      </c>
      <c r="B546" s="226" t="s">
        <v>1478</v>
      </c>
      <c r="C546" s="228"/>
      <c r="D546" s="241">
        <v>1592.99</v>
      </c>
      <c r="E546" s="226" t="s">
        <v>1047</v>
      </c>
      <c r="F546" s="234">
        <f t="shared" si="8"/>
        <v>0</v>
      </c>
    </row>
    <row r="547" spans="1:6" x14ac:dyDescent="0.25">
      <c r="A547" s="230">
        <v>26590</v>
      </c>
      <c r="B547" s="236" t="s">
        <v>921</v>
      </c>
      <c r="C547" s="228"/>
      <c r="D547" s="241">
        <v>125.68</v>
      </c>
      <c r="E547" s="226" t="s">
        <v>1047</v>
      </c>
      <c r="F547" s="234">
        <f t="shared" si="8"/>
        <v>0</v>
      </c>
    </row>
    <row r="548" spans="1:6" x14ac:dyDescent="0.25">
      <c r="A548" s="230">
        <v>26600</v>
      </c>
      <c r="B548" s="236" t="s">
        <v>922</v>
      </c>
      <c r="C548" s="226"/>
      <c r="D548" s="241">
        <v>94.63</v>
      </c>
      <c r="E548" s="226" t="s">
        <v>1047</v>
      </c>
      <c r="F548" s="234">
        <f t="shared" si="8"/>
        <v>0</v>
      </c>
    </row>
    <row r="549" spans="1:6" x14ac:dyDescent="0.25">
      <c r="A549" s="230">
        <v>26610</v>
      </c>
      <c r="B549" s="236" t="s">
        <v>923</v>
      </c>
      <c r="C549" s="228"/>
      <c r="D549" s="241">
        <v>125.68</v>
      </c>
      <c r="E549" s="226" t="s">
        <v>1047</v>
      </c>
      <c r="F549" s="234">
        <f t="shared" si="8"/>
        <v>0</v>
      </c>
    </row>
    <row r="550" spans="1:6" x14ac:dyDescent="0.25">
      <c r="A550" s="230">
        <v>26620</v>
      </c>
      <c r="B550" s="236" t="s">
        <v>924</v>
      </c>
      <c r="C550" s="229"/>
      <c r="D550" s="241">
        <v>125.68</v>
      </c>
      <c r="E550" s="226" t="s">
        <v>1047</v>
      </c>
      <c r="F550" s="234">
        <f t="shared" si="8"/>
        <v>0</v>
      </c>
    </row>
    <row r="551" spans="1:6" x14ac:dyDescent="0.25">
      <c r="A551" s="230">
        <v>27000</v>
      </c>
      <c r="B551" s="236" t="s">
        <v>440</v>
      </c>
      <c r="C551" s="228"/>
      <c r="D551" s="241"/>
      <c r="E551" s="226" t="s">
        <v>1047</v>
      </c>
      <c r="F551" s="234">
        <f t="shared" si="8"/>
        <v>0</v>
      </c>
    </row>
    <row r="552" spans="1:6" x14ac:dyDescent="0.25">
      <c r="A552" s="230">
        <v>27010</v>
      </c>
      <c r="B552" s="236" t="s">
        <v>666</v>
      </c>
      <c r="C552" s="228">
        <v>3</v>
      </c>
      <c r="D552" s="241">
        <v>91.5</v>
      </c>
      <c r="E552" s="226" t="s">
        <v>1047</v>
      </c>
      <c r="F552" s="234">
        <f t="shared" si="8"/>
        <v>274.5</v>
      </c>
    </row>
    <row r="553" spans="1:6" x14ac:dyDescent="0.25">
      <c r="A553" s="230">
        <v>27020</v>
      </c>
      <c r="B553" s="236" t="s">
        <v>1814</v>
      </c>
      <c r="C553" s="228"/>
      <c r="D553" s="241">
        <v>184.3</v>
      </c>
      <c r="E553" s="226" t="s">
        <v>1047</v>
      </c>
      <c r="F553" s="234">
        <f t="shared" si="8"/>
        <v>0</v>
      </c>
    </row>
    <row r="554" spans="1:6" x14ac:dyDescent="0.25">
      <c r="A554" s="230">
        <v>27030</v>
      </c>
      <c r="B554" s="236" t="s">
        <v>1815</v>
      </c>
      <c r="C554" s="228"/>
      <c r="D554" s="241">
        <v>208</v>
      </c>
      <c r="E554" s="226" t="s">
        <v>1047</v>
      </c>
      <c r="F554" s="234">
        <f t="shared" si="8"/>
        <v>0</v>
      </c>
    </row>
    <row r="555" spans="1:6" x14ac:dyDescent="0.25">
      <c r="A555" s="230">
        <v>27040</v>
      </c>
      <c r="B555" s="236" t="s">
        <v>1816</v>
      </c>
      <c r="C555" s="228">
        <v>3</v>
      </c>
      <c r="D555" s="241">
        <v>254</v>
      </c>
      <c r="E555" s="226" t="s">
        <v>1047</v>
      </c>
      <c r="F555" s="234">
        <f t="shared" si="8"/>
        <v>762</v>
      </c>
    </row>
    <row r="556" spans="1:6" x14ac:dyDescent="0.25">
      <c r="A556" s="230">
        <v>27050</v>
      </c>
      <c r="B556" s="236" t="s">
        <v>1817</v>
      </c>
      <c r="C556" s="228"/>
      <c r="D556" s="241">
        <v>104.4</v>
      </c>
      <c r="E556" s="226" t="s">
        <v>1047</v>
      </c>
      <c r="F556" s="234">
        <f t="shared" si="8"/>
        <v>0</v>
      </c>
    </row>
    <row r="557" spans="1:6" x14ac:dyDescent="0.25">
      <c r="A557" s="230">
        <v>27060</v>
      </c>
      <c r="B557" s="236" t="s">
        <v>1818</v>
      </c>
      <c r="C557" s="228"/>
      <c r="D557" s="241">
        <v>157.03</v>
      </c>
      <c r="E557" s="226" t="s">
        <v>1047</v>
      </c>
      <c r="F557" s="234">
        <f t="shared" si="8"/>
        <v>0</v>
      </c>
    </row>
    <row r="558" spans="1:6" x14ac:dyDescent="0.25">
      <c r="A558" s="230">
        <v>27070</v>
      </c>
      <c r="B558" s="236" t="s">
        <v>1819</v>
      </c>
      <c r="C558" s="228">
        <v>2</v>
      </c>
      <c r="D558" s="241">
        <v>111</v>
      </c>
      <c r="E558" s="226" t="s">
        <v>1047</v>
      </c>
      <c r="F558" s="234">
        <f t="shared" si="8"/>
        <v>222</v>
      </c>
    </row>
    <row r="559" spans="1:6" x14ac:dyDescent="0.25">
      <c r="A559" s="230">
        <v>27080</v>
      </c>
      <c r="B559" s="236" t="s">
        <v>1820</v>
      </c>
      <c r="C559" s="228">
        <v>5</v>
      </c>
      <c r="D559" s="241">
        <v>116.1</v>
      </c>
      <c r="E559" s="226" t="s">
        <v>1047</v>
      </c>
      <c r="F559" s="234">
        <f t="shared" si="8"/>
        <v>580.5</v>
      </c>
    </row>
    <row r="560" spans="1:6" x14ac:dyDescent="0.25">
      <c r="A560" s="230">
        <v>27090</v>
      </c>
      <c r="B560" s="236" t="s">
        <v>1821</v>
      </c>
      <c r="C560" s="228">
        <v>1</v>
      </c>
      <c r="D560" s="241">
        <v>128.15</v>
      </c>
      <c r="E560" s="226" t="s">
        <v>1047</v>
      </c>
      <c r="F560" s="234">
        <f t="shared" si="8"/>
        <v>128.15</v>
      </c>
    </row>
    <row r="561" spans="1:6" x14ac:dyDescent="0.25">
      <c r="A561" s="230">
        <v>27100</v>
      </c>
      <c r="B561" s="236" t="s">
        <v>1822</v>
      </c>
      <c r="C561" s="228"/>
      <c r="D561" s="241">
        <v>152</v>
      </c>
      <c r="E561" s="226" t="s">
        <v>1047</v>
      </c>
      <c r="F561" s="234">
        <f t="shared" si="8"/>
        <v>0</v>
      </c>
    </row>
    <row r="562" spans="1:6" x14ac:dyDescent="0.25">
      <c r="A562" s="230">
        <v>27110</v>
      </c>
      <c r="B562" s="236" t="s">
        <v>1823</v>
      </c>
      <c r="C562" s="228">
        <v>1</v>
      </c>
      <c r="D562" s="241">
        <v>76.8</v>
      </c>
      <c r="E562" s="226" t="s">
        <v>1047</v>
      </c>
      <c r="F562" s="234">
        <f t="shared" si="8"/>
        <v>76.8</v>
      </c>
    </row>
    <row r="563" spans="1:6" x14ac:dyDescent="0.25">
      <c r="A563" s="230">
        <v>27120</v>
      </c>
      <c r="B563" s="236" t="s">
        <v>1824</v>
      </c>
      <c r="C563" s="228">
        <v>2</v>
      </c>
      <c r="D563" s="241">
        <v>90.1</v>
      </c>
      <c r="E563" s="226" t="s">
        <v>1047</v>
      </c>
      <c r="F563" s="234">
        <f t="shared" si="8"/>
        <v>180.2</v>
      </c>
    </row>
    <row r="564" spans="1:6" x14ac:dyDescent="0.25">
      <c r="A564" s="230">
        <v>27130</v>
      </c>
      <c r="B564" s="236" t="s">
        <v>1825</v>
      </c>
      <c r="C564" s="228"/>
      <c r="D564" s="241">
        <v>92.2</v>
      </c>
      <c r="E564" s="226" t="s">
        <v>1047</v>
      </c>
      <c r="F564" s="234">
        <f t="shared" si="8"/>
        <v>0</v>
      </c>
    </row>
    <row r="565" spans="1:6" x14ac:dyDescent="0.25">
      <c r="A565" s="230">
        <v>27140</v>
      </c>
      <c r="B565" s="236" t="s">
        <v>1826</v>
      </c>
      <c r="C565" s="228"/>
      <c r="D565" s="226">
        <v>53.87</v>
      </c>
      <c r="E565" s="226" t="s">
        <v>1047</v>
      </c>
      <c r="F565" s="234">
        <f t="shared" si="8"/>
        <v>0</v>
      </c>
    </row>
    <row r="566" spans="1:6" x14ac:dyDescent="0.25">
      <c r="A566" s="230">
        <v>27150</v>
      </c>
      <c r="B566" s="236" t="s">
        <v>1827</v>
      </c>
      <c r="C566" s="228"/>
      <c r="D566" s="226">
        <v>107.95</v>
      </c>
      <c r="E566" s="226" t="s">
        <v>1047</v>
      </c>
      <c r="F566" s="234">
        <f t="shared" si="8"/>
        <v>0</v>
      </c>
    </row>
    <row r="567" spans="1:6" x14ac:dyDescent="0.25">
      <c r="A567" s="230">
        <v>27160</v>
      </c>
      <c r="B567" s="236" t="s">
        <v>698</v>
      </c>
      <c r="C567" s="228"/>
      <c r="D567" s="241"/>
      <c r="E567" s="226" t="s">
        <v>1047</v>
      </c>
      <c r="F567" s="234">
        <f t="shared" si="8"/>
        <v>0</v>
      </c>
    </row>
    <row r="568" spans="1:6" x14ac:dyDescent="0.25">
      <c r="A568" s="230">
        <v>27170</v>
      </c>
      <c r="B568" s="236" t="s">
        <v>1739</v>
      </c>
      <c r="C568" s="228"/>
      <c r="D568" s="226">
        <v>149.21</v>
      </c>
      <c r="E568" s="226" t="s">
        <v>1047</v>
      </c>
      <c r="F568" s="234">
        <f t="shared" si="8"/>
        <v>0</v>
      </c>
    </row>
    <row r="569" spans="1:6" x14ac:dyDescent="0.25">
      <c r="A569" s="230">
        <v>27180</v>
      </c>
      <c r="B569" s="236" t="s">
        <v>1828</v>
      </c>
      <c r="C569" s="228"/>
      <c r="D569" s="241">
        <v>204.37</v>
      </c>
      <c r="E569" s="226" t="s">
        <v>1047</v>
      </c>
      <c r="F569" s="234">
        <f t="shared" si="8"/>
        <v>0</v>
      </c>
    </row>
    <row r="570" spans="1:6" x14ac:dyDescent="0.25">
      <c r="A570" s="230">
        <v>27190</v>
      </c>
      <c r="B570" s="236" t="s">
        <v>1829</v>
      </c>
      <c r="C570" s="228">
        <v>9</v>
      </c>
      <c r="D570" s="241">
        <v>235</v>
      </c>
      <c r="E570" s="226" t="s">
        <v>1047</v>
      </c>
      <c r="F570" s="234">
        <f t="shared" si="8"/>
        <v>2115</v>
      </c>
    </row>
    <row r="571" spans="1:6" x14ac:dyDescent="0.25">
      <c r="A571" s="230">
        <v>27200</v>
      </c>
      <c r="B571" s="236" t="s">
        <v>1830</v>
      </c>
      <c r="C571" s="228"/>
      <c r="D571" s="241">
        <v>111.53</v>
      </c>
      <c r="E571" s="226" t="s">
        <v>1047</v>
      </c>
      <c r="F571" s="234">
        <f t="shared" si="8"/>
        <v>0</v>
      </c>
    </row>
    <row r="572" spans="1:6" x14ac:dyDescent="0.25">
      <c r="A572" s="230">
        <v>27210</v>
      </c>
      <c r="B572" s="236" t="s">
        <v>704</v>
      </c>
      <c r="C572" s="228"/>
      <c r="D572" s="241">
        <v>215</v>
      </c>
      <c r="E572" s="226" t="s">
        <v>1047</v>
      </c>
      <c r="F572" s="234">
        <f t="shared" si="8"/>
        <v>0</v>
      </c>
    </row>
    <row r="573" spans="1:6" x14ac:dyDescent="0.25">
      <c r="A573" s="230">
        <v>27220</v>
      </c>
      <c r="B573" s="236" t="s">
        <v>1831</v>
      </c>
      <c r="C573" s="228"/>
      <c r="D573" s="241">
        <v>66.650000000000006</v>
      </c>
      <c r="E573" s="226" t="s">
        <v>1047</v>
      </c>
      <c r="F573" s="234">
        <f t="shared" si="8"/>
        <v>0</v>
      </c>
    </row>
    <row r="574" spans="1:6" x14ac:dyDescent="0.25">
      <c r="A574" s="230">
        <v>27230</v>
      </c>
      <c r="B574" s="236" t="s">
        <v>711</v>
      </c>
      <c r="C574" s="228"/>
      <c r="D574" s="241">
        <v>69.88</v>
      </c>
      <c r="E574" s="226" t="s">
        <v>1047</v>
      </c>
      <c r="F574" s="234">
        <f t="shared" si="8"/>
        <v>0</v>
      </c>
    </row>
    <row r="575" spans="1:6" x14ac:dyDescent="0.25">
      <c r="A575" s="230">
        <v>27240</v>
      </c>
      <c r="B575" s="236" t="s">
        <v>928</v>
      </c>
      <c r="C575" s="228"/>
      <c r="D575" s="241">
        <v>77.31</v>
      </c>
      <c r="E575" s="226" t="s">
        <v>1047</v>
      </c>
      <c r="F575" s="234">
        <f t="shared" si="8"/>
        <v>0</v>
      </c>
    </row>
    <row r="576" spans="1:6" x14ac:dyDescent="0.25">
      <c r="A576" s="230">
        <v>27250</v>
      </c>
      <c r="B576" s="236" t="s">
        <v>929</v>
      </c>
      <c r="C576" s="228"/>
      <c r="D576" s="241">
        <v>87.41</v>
      </c>
      <c r="E576" s="226" t="s">
        <v>1047</v>
      </c>
      <c r="F576" s="234">
        <f t="shared" si="8"/>
        <v>0</v>
      </c>
    </row>
    <row r="577" spans="1:6" x14ac:dyDescent="0.25">
      <c r="A577" s="230">
        <v>27260</v>
      </c>
      <c r="B577" s="236" t="s">
        <v>1832</v>
      </c>
      <c r="C577" s="228"/>
      <c r="D577" s="241">
        <v>275</v>
      </c>
      <c r="E577" s="226" t="s">
        <v>1047</v>
      </c>
      <c r="F577" s="234">
        <f t="shared" si="8"/>
        <v>0</v>
      </c>
    </row>
    <row r="578" spans="1:6" x14ac:dyDescent="0.25">
      <c r="A578" s="230">
        <v>27270</v>
      </c>
      <c r="B578" s="237" t="s">
        <v>931</v>
      </c>
      <c r="C578" s="228"/>
      <c r="D578" s="241">
        <v>0</v>
      </c>
      <c r="E578" s="226" t="s">
        <v>1047</v>
      </c>
      <c r="F578" s="234">
        <f t="shared" si="8"/>
        <v>0</v>
      </c>
    </row>
    <row r="579" spans="1:6" x14ac:dyDescent="0.25">
      <c r="A579" s="230">
        <v>27280</v>
      </c>
      <c r="B579" s="236" t="s">
        <v>1833</v>
      </c>
      <c r="C579" s="228"/>
      <c r="D579" s="241">
        <v>72.81</v>
      </c>
      <c r="E579" s="226" t="s">
        <v>1047</v>
      </c>
      <c r="F579" s="234">
        <f t="shared" si="8"/>
        <v>0</v>
      </c>
    </row>
    <row r="580" spans="1:6" x14ac:dyDescent="0.25">
      <c r="A580" s="230">
        <v>27290</v>
      </c>
      <c r="B580" s="236" t="s">
        <v>1834</v>
      </c>
      <c r="C580" s="228"/>
      <c r="D580" s="241">
        <v>68.709999999999994</v>
      </c>
      <c r="E580" s="226" t="s">
        <v>1047</v>
      </c>
      <c r="F580" s="234">
        <f t="shared" si="8"/>
        <v>0</v>
      </c>
    </row>
    <row r="581" spans="1:6" x14ac:dyDescent="0.25">
      <c r="A581" s="230">
        <v>27300</v>
      </c>
      <c r="B581" s="236" t="s">
        <v>1835</v>
      </c>
      <c r="C581" s="228"/>
      <c r="D581" s="241">
        <v>0</v>
      </c>
      <c r="E581" s="226" t="s">
        <v>1047</v>
      </c>
      <c r="F581" s="234">
        <f t="shared" si="8"/>
        <v>0</v>
      </c>
    </row>
    <row r="582" spans="1:6" x14ac:dyDescent="0.25">
      <c r="A582" s="230">
        <v>27310</v>
      </c>
      <c r="B582" s="236" t="s">
        <v>712</v>
      </c>
      <c r="C582" s="226"/>
      <c r="D582" s="241">
        <v>103.4</v>
      </c>
      <c r="E582" s="226" t="s">
        <v>1047</v>
      </c>
      <c r="F582" s="234">
        <f t="shared" si="8"/>
        <v>0</v>
      </c>
    </row>
    <row r="583" spans="1:6" x14ac:dyDescent="0.25">
      <c r="A583" s="230">
        <v>27320</v>
      </c>
      <c r="B583" s="236" t="s">
        <v>935</v>
      </c>
      <c r="C583" s="226"/>
      <c r="D583" s="241">
        <v>71.760000000000005</v>
      </c>
      <c r="E583" s="226" t="s">
        <v>1047</v>
      </c>
      <c r="F583" s="234">
        <f t="shared" si="8"/>
        <v>0</v>
      </c>
    </row>
    <row r="584" spans="1:6" x14ac:dyDescent="0.25">
      <c r="A584" s="230">
        <v>27330</v>
      </c>
      <c r="B584" s="236" t="s">
        <v>936</v>
      </c>
      <c r="C584" s="226"/>
      <c r="D584" s="241">
        <v>79.12</v>
      </c>
      <c r="E584" s="226" t="s">
        <v>1047</v>
      </c>
      <c r="F584" s="234">
        <f t="shared" si="8"/>
        <v>0</v>
      </c>
    </row>
    <row r="585" spans="1:6" x14ac:dyDescent="0.25">
      <c r="A585" s="230">
        <v>27340</v>
      </c>
      <c r="B585" s="230" t="s">
        <v>1836</v>
      </c>
      <c r="C585" s="226"/>
      <c r="D585" s="241">
        <v>20.95</v>
      </c>
      <c r="E585" s="226" t="s">
        <v>1047</v>
      </c>
      <c r="F585" s="234">
        <f t="shared" si="8"/>
        <v>0</v>
      </c>
    </row>
    <row r="586" spans="1:6" x14ac:dyDescent="0.25">
      <c r="A586" s="230">
        <v>28000</v>
      </c>
      <c r="B586" s="230" t="s">
        <v>1763</v>
      </c>
      <c r="C586" s="226"/>
      <c r="D586" s="226">
        <v>6.63</v>
      </c>
      <c r="E586" s="226" t="s">
        <v>1047</v>
      </c>
      <c r="F586" s="234">
        <f t="shared" si="8"/>
        <v>0</v>
      </c>
    </row>
    <row r="587" spans="1:6" x14ac:dyDescent="0.25">
      <c r="A587" s="230">
        <v>28010</v>
      </c>
      <c r="B587" s="230" t="s">
        <v>514</v>
      </c>
      <c r="C587" s="226"/>
      <c r="D587" s="226">
        <v>5.65</v>
      </c>
      <c r="E587" s="226" t="s">
        <v>1047</v>
      </c>
      <c r="F587" s="234">
        <f t="shared" si="8"/>
        <v>0</v>
      </c>
    </row>
    <row r="588" spans="1:6" x14ac:dyDescent="0.25">
      <c r="A588" s="230">
        <v>28020</v>
      </c>
      <c r="B588" s="230" t="s">
        <v>515</v>
      </c>
      <c r="C588" s="226"/>
      <c r="D588" s="226">
        <v>9.1999999999999993</v>
      </c>
      <c r="E588" s="226" t="s">
        <v>1047</v>
      </c>
      <c r="F588" s="234">
        <f t="shared" ref="F588:F651" si="9">C588*D588</f>
        <v>0</v>
      </c>
    </row>
    <row r="589" spans="1:6" x14ac:dyDescent="0.25">
      <c r="A589" s="230">
        <v>28030</v>
      </c>
      <c r="B589" s="230" t="s">
        <v>516</v>
      </c>
      <c r="C589" s="226"/>
      <c r="D589" s="226">
        <v>12.35</v>
      </c>
      <c r="E589" s="226" t="s">
        <v>1047</v>
      </c>
      <c r="F589" s="234">
        <f t="shared" si="9"/>
        <v>0</v>
      </c>
    </row>
    <row r="590" spans="1:6" x14ac:dyDescent="0.25">
      <c r="A590" s="230">
        <v>28040</v>
      </c>
      <c r="B590" s="230" t="s">
        <v>517</v>
      </c>
      <c r="C590" s="226"/>
      <c r="D590" s="226">
        <v>15.8</v>
      </c>
      <c r="E590" s="226" t="s">
        <v>1047</v>
      </c>
      <c r="F590" s="234">
        <f t="shared" si="9"/>
        <v>0</v>
      </c>
    </row>
    <row r="591" spans="1:6" x14ac:dyDescent="0.25">
      <c r="A591" s="230">
        <v>28050</v>
      </c>
      <c r="B591" s="230" t="s">
        <v>518</v>
      </c>
      <c r="C591" s="226"/>
      <c r="D591" s="226">
        <v>18.48</v>
      </c>
      <c r="E591" s="226" t="s">
        <v>1047</v>
      </c>
      <c r="F591" s="234">
        <f t="shared" si="9"/>
        <v>0</v>
      </c>
    </row>
    <row r="592" spans="1:6" x14ac:dyDescent="0.25">
      <c r="A592" s="230">
        <v>28060</v>
      </c>
      <c r="B592" s="230" t="s">
        <v>519</v>
      </c>
      <c r="C592" s="226"/>
      <c r="D592" s="226">
        <v>15.2</v>
      </c>
      <c r="E592" s="226" t="s">
        <v>1047</v>
      </c>
      <c r="F592" s="234">
        <f t="shared" si="9"/>
        <v>0</v>
      </c>
    </row>
    <row r="593" spans="1:6" x14ac:dyDescent="0.25">
      <c r="A593" s="230">
        <v>28070</v>
      </c>
      <c r="B593" s="230" t="s">
        <v>520</v>
      </c>
      <c r="C593" s="226"/>
      <c r="D593" s="226">
        <v>8.1</v>
      </c>
      <c r="E593" s="226" t="s">
        <v>1047</v>
      </c>
      <c r="F593" s="234">
        <f t="shared" si="9"/>
        <v>0</v>
      </c>
    </row>
    <row r="594" spans="1:6" x14ac:dyDescent="0.25">
      <c r="A594" s="230">
        <v>28080</v>
      </c>
      <c r="B594" s="230" t="s">
        <v>521</v>
      </c>
      <c r="C594" s="226"/>
      <c r="D594" s="241">
        <v>5.05</v>
      </c>
      <c r="E594" s="226" t="s">
        <v>1047</v>
      </c>
      <c r="F594" s="234">
        <f t="shared" si="9"/>
        <v>0</v>
      </c>
    </row>
    <row r="595" spans="1:6" x14ac:dyDescent="0.25">
      <c r="A595" s="230">
        <v>28090</v>
      </c>
      <c r="B595" s="230" t="s">
        <v>522</v>
      </c>
      <c r="C595" s="226"/>
      <c r="D595" s="226">
        <v>1.35</v>
      </c>
      <c r="E595" s="226" t="s">
        <v>1047</v>
      </c>
      <c r="F595" s="234">
        <f t="shared" si="9"/>
        <v>0</v>
      </c>
    </row>
    <row r="596" spans="1:6" x14ac:dyDescent="0.25">
      <c r="A596" s="230">
        <v>28100</v>
      </c>
      <c r="B596" s="230" t="s">
        <v>523</v>
      </c>
      <c r="C596" s="226"/>
      <c r="D596" s="226">
        <v>5.45</v>
      </c>
      <c r="E596" s="226" t="s">
        <v>1047</v>
      </c>
      <c r="F596" s="234">
        <f t="shared" si="9"/>
        <v>0</v>
      </c>
    </row>
    <row r="597" spans="1:6" x14ac:dyDescent="0.25">
      <c r="A597" s="230">
        <v>28110</v>
      </c>
      <c r="B597" s="230" t="s">
        <v>968</v>
      </c>
      <c r="C597" s="226"/>
      <c r="D597" s="241">
        <v>7.43</v>
      </c>
      <c r="E597" s="226" t="s">
        <v>1047</v>
      </c>
      <c r="F597" s="234">
        <f t="shared" si="9"/>
        <v>0</v>
      </c>
    </row>
    <row r="598" spans="1:6" x14ac:dyDescent="0.25">
      <c r="A598" s="230">
        <v>28120</v>
      </c>
      <c r="B598" s="230" t="s">
        <v>844</v>
      </c>
      <c r="C598" s="226"/>
      <c r="D598" s="241"/>
      <c r="E598" s="226" t="s">
        <v>1047</v>
      </c>
      <c r="F598" s="234">
        <f t="shared" si="9"/>
        <v>0</v>
      </c>
    </row>
    <row r="599" spans="1:6" x14ac:dyDescent="0.25">
      <c r="A599" s="230">
        <v>28130</v>
      </c>
      <c r="B599" s="230" t="s">
        <v>735</v>
      </c>
      <c r="C599" s="226"/>
      <c r="D599" s="241"/>
      <c r="E599" s="226" t="s">
        <v>1047</v>
      </c>
      <c r="F599" s="234">
        <f t="shared" si="9"/>
        <v>0</v>
      </c>
    </row>
    <row r="600" spans="1:6" x14ac:dyDescent="0.25">
      <c r="A600" s="230">
        <v>28140</v>
      </c>
      <c r="B600" s="230" t="s">
        <v>969</v>
      </c>
      <c r="C600" s="226"/>
      <c r="D600" s="241"/>
      <c r="E600" s="226" t="s">
        <v>1047</v>
      </c>
      <c r="F600" s="234">
        <f t="shared" si="9"/>
        <v>0</v>
      </c>
    </row>
    <row r="601" spans="1:6" x14ac:dyDescent="0.25">
      <c r="A601" s="230">
        <v>28150</v>
      </c>
      <c r="B601" s="230" t="s">
        <v>524</v>
      </c>
      <c r="C601" s="226"/>
      <c r="D601" s="241"/>
      <c r="E601" s="226" t="s">
        <v>1047</v>
      </c>
      <c r="F601" s="234">
        <f t="shared" si="9"/>
        <v>0</v>
      </c>
    </row>
    <row r="602" spans="1:6" x14ac:dyDescent="0.25">
      <c r="A602" s="230">
        <v>28160</v>
      </c>
      <c r="B602" s="230" t="s">
        <v>525</v>
      </c>
      <c r="C602" s="226"/>
      <c r="D602" s="241"/>
      <c r="E602" s="226" t="s">
        <v>1047</v>
      </c>
      <c r="F602" s="234">
        <f t="shared" si="9"/>
        <v>0</v>
      </c>
    </row>
    <row r="603" spans="1:6" x14ac:dyDescent="0.25">
      <c r="A603" s="230">
        <v>28170</v>
      </c>
      <c r="B603" s="230" t="s">
        <v>526</v>
      </c>
      <c r="C603" s="226"/>
      <c r="D603" s="241"/>
      <c r="E603" s="226" t="s">
        <v>1047</v>
      </c>
      <c r="F603" s="234">
        <f t="shared" si="9"/>
        <v>0</v>
      </c>
    </row>
    <row r="604" spans="1:6" x14ac:dyDescent="0.25">
      <c r="A604" s="230">
        <v>28180</v>
      </c>
      <c r="B604" s="230" t="s">
        <v>527</v>
      </c>
      <c r="C604" s="226"/>
      <c r="D604" s="241"/>
      <c r="E604" s="226" t="s">
        <v>1047</v>
      </c>
      <c r="F604" s="234">
        <f t="shared" si="9"/>
        <v>0</v>
      </c>
    </row>
    <row r="605" spans="1:6" x14ac:dyDescent="0.25">
      <c r="A605" s="230">
        <v>28190</v>
      </c>
      <c r="B605" s="230" t="s">
        <v>528</v>
      </c>
      <c r="C605" s="226"/>
      <c r="D605" s="241">
        <v>17.22</v>
      </c>
      <c r="E605" s="226" t="s">
        <v>1047</v>
      </c>
      <c r="F605" s="234">
        <f t="shared" si="9"/>
        <v>0</v>
      </c>
    </row>
    <row r="606" spans="1:6" x14ac:dyDescent="0.25">
      <c r="A606" s="230">
        <v>28200</v>
      </c>
      <c r="B606" s="230" t="s">
        <v>529</v>
      </c>
      <c r="C606" s="226"/>
      <c r="D606" s="241"/>
      <c r="E606" s="226" t="s">
        <v>1047</v>
      </c>
      <c r="F606" s="234">
        <f t="shared" si="9"/>
        <v>0</v>
      </c>
    </row>
    <row r="607" spans="1:6" x14ac:dyDescent="0.25">
      <c r="A607" s="230">
        <v>28210</v>
      </c>
      <c r="B607" s="230" t="s">
        <v>530</v>
      </c>
      <c r="C607" s="226"/>
      <c r="D607" s="241"/>
      <c r="E607" s="226" t="s">
        <v>1047</v>
      </c>
      <c r="F607" s="234">
        <f t="shared" si="9"/>
        <v>0</v>
      </c>
    </row>
    <row r="608" spans="1:6" x14ac:dyDescent="0.25">
      <c r="A608" s="230">
        <v>28220</v>
      </c>
      <c r="B608" s="230" t="s">
        <v>531</v>
      </c>
      <c r="C608" s="228"/>
      <c r="D608" s="241"/>
      <c r="E608" s="226" t="s">
        <v>1047</v>
      </c>
      <c r="F608" s="234">
        <f t="shared" si="9"/>
        <v>0</v>
      </c>
    </row>
    <row r="609" spans="1:6" x14ac:dyDescent="0.25">
      <c r="A609" s="230">
        <v>28230</v>
      </c>
      <c r="B609" s="230" t="s">
        <v>736</v>
      </c>
      <c r="C609" s="228"/>
      <c r="D609" s="241"/>
      <c r="E609" s="226" t="s">
        <v>1047</v>
      </c>
      <c r="F609" s="234">
        <f t="shared" si="9"/>
        <v>0</v>
      </c>
    </row>
    <row r="610" spans="1:6" x14ac:dyDescent="0.25">
      <c r="A610" s="230">
        <v>29000</v>
      </c>
      <c r="B610" s="230" t="s">
        <v>937</v>
      </c>
      <c r="C610" s="228"/>
      <c r="D610" s="241">
        <v>7.04</v>
      </c>
      <c r="E610" s="226" t="s">
        <v>1047</v>
      </c>
      <c r="F610" s="234">
        <f t="shared" si="9"/>
        <v>0</v>
      </c>
    </row>
    <row r="611" spans="1:6" x14ac:dyDescent="0.25">
      <c r="A611" s="230">
        <v>29010</v>
      </c>
      <c r="B611" s="230" t="s">
        <v>446</v>
      </c>
      <c r="C611" s="228"/>
      <c r="D611" s="241">
        <v>0</v>
      </c>
      <c r="E611" s="226" t="s">
        <v>1047</v>
      </c>
      <c r="F611" s="234">
        <f t="shared" si="9"/>
        <v>0</v>
      </c>
    </row>
    <row r="612" spans="1:6" x14ac:dyDescent="0.25">
      <c r="A612" s="230">
        <v>29020</v>
      </c>
      <c r="B612" s="230" t="s">
        <v>720</v>
      </c>
      <c r="C612" s="228"/>
      <c r="D612" s="241"/>
      <c r="E612" s="226" t="s">
        <v>1047</v>
      </c>
      <c r="F612" s="234">
        <f t="shared" si="9"/>
        <v>0</v>
      </c>
    </row>
    <row r="613" spans="1:6" x14ac:dyDescent="0.25">
      <c r="A613" s="230">
        <v>29030</v>
      </c>
      <c r="B613" s="230" t="s">
        <v>719</v>
      </c>
      <c r="C613" s="228"/>
      <c r="D613" s="241">
        <v>3.44</v>
      </c>
      <c r="E613" s="226" t="s">
        <v>1047</v>
      </c>
      <c r="F613" s="234">
        <f t="shared" si="9"/>
        <v>0</v>
      </c>
    </row>
    <row r="614" spans="1:6" x14ac:dyDescent="0.25">
      <c r="A614" s="230">
        <v>29040</v>
      </c>
      <c r="B614" s="230" t="s">
        <v>447</v>
      </c>
      <c r="C614" s="228"/>
      <c r="D614" s="241">
        <v>0</v>
      </c>
      <c r="E614" s="226" t="s">
        <v>1047</v>
      </c>
      <c r="F614" s="234">
        <f t="shared" si="9"/>
        <v>0</v>
      </c>
    </row>
    <row r="615" spans="1:6" x14ac:dyDescent="0.25">
      <c r="A615" s="230">
        <v>29050</v>
      </c>
      <c r="B615" s="230" t="s">
        <v>448</v>
      </c>
      <c r="C615" s="228"/>
      <c r="D615" s="241">
        <v>0</v>
      </c>
      <c r="E615" s="226" t="s">
        <v>1047</v>
      </c>
      <c r="F615" s="234">
        <f t="shared" si="9"/>
        <v>0</v>
      </c>
    </row>
    <row r="616" spans="1:6" x14ac:dyDescent="0.25">
      <c r="A616" s="230">
        <v>29060</v>
      </c>
      <c r="B616" s="230" t="s">
        <v>449</v>
      </c>
      <c r="C616" s="228"/>
      <c r="D616" s="241">
        <v>0.33</v>
      </c>
      <c r="E616" s="226" t="s">
        <v>1047</v>
      </c>
      <c r="F616" s="234">
        <f t="shared" si="9"/>
        <v>0</v>
      </c>
    </row>
    <row r="617" spans="1:6" x14ac:dyDescent="0.25">
      <c r="A617" s="230">
        <v>29070</v>
      </c>
      <c r="B617" s="230" t="s">
        <v>450</v>
      </c>
      <c r="C617" s="228">
        <v>4</v>
      </c>
      <c r="D617" s="226">
        <v>0.26</v>
      </c>
      <c r="E617" s="226" t="s">
        <v>1047</v>
      </c>
      <c r="F617" s="234">
        <f t="shared" si="9"/>
        <v>1.04</v>
      </c>
    </row>
    <row r="618" spans="1:6" x14ac:dyDescent="0.25">
      <c r="A618" s="230">
        <v>29080</v>
      </c>
      <c r="B618" s="230" t="s">
        <v>451</v>
      </c>
      <c r="C618" s="228">
        <v>4</v>
      </c>
      <c r="D618" s="226">
        <v>0.36</v>
      </c>
      <c r="E618" s="226" t="s">
        <v>1047</v>
      </c>
      <c r="F618" s="234">
        <f t="shared" si="9"/>
        <v>1.44</v>
      </c>
    </row>
    <row r="619" spans="1:6" x14ac:dyDescent="0.25">
      <c r="A619" s="230">
        <v>29090</v>
      </c>
      <c r="B619" s="230" t="s">
        <v>452</v>
      </c>
      <c r="C619" s="228"/>
      <c r="D619" s="226">
        <v>0.62</v>
      </c>
      <c r="E619" s="226" t="s">
        <v>1047</v>
      </c>
      <c r="F619" s="234">
        <f t="shared" si="9"/>
        <v>0</v>
      </c>
    </row>
    <row r="620" spans="1:6" x14ac:dyDescent="0.25">
      <c r="A620" s="230">
        <v>29100</v>
      </c>
      <c r="B620" s="230" t="s">
        <v>453</v>
      </c>
      <c r="C620" s="228">
        <v>4</v>
      </c>
      <c r="D620" s="226">
        <v>0.98</v>
      </c>
      <c r="E620" s="226" t="s">
        <v>1047</v>
      </c>
      <c r="F620" s="234">
        <f t="shared" si="9"/>
        <v>3.92</v>
      </c>
    </row>
    <row r="621" spans="1:6" x14ac:dyDescent="0.25">
      <c r="A621" s="230">
        <v>29110</v>
      </c>
      <c r="B621" s="230" t="s">
        <v>454</v>
      </c>
      <c r="C621" s="228"/>
      <c r="D621" s="226">
        <v>1.35</v>
      </c>
      <c r="E621" s="226" t="s">
        <v>1047</v>
      </c>
      <c r="F621" s="234">
        <f t="shared" si="9"/>
        <v>0</v>
      </c>
    </row>
    <row r="622" spans="1:6" x14ac:dyDescent="0.25">
      <c r="A622" s="230">
        <v>29120</v>
      </c>
      <c r="B622" s="230" t="s">
        <v>455</v>
      </c>
      <c r="C622" s="228"/>
      <c r="D622" s="226">
        <v>2.0499999999999998</v>
      </c>
      <c r="E622" s="226" t="s">
        <v>1047</v>
      </c>
      <c r="F622" s="234">
        <f t="shared" si="9"/>
        <v>0</v>
      </c>
    </row>
    <row r="623" spans="1:6" x14ac:dyDescent="0.25">
      <c r="A623" s="230">
        <v>29130</v>
      </c>
      <c r="B623" s="230" t="s">
        <v>456</v>
      </c>
      <c r="C623" s="228"/>
      <c r="D623" s="241">
        <v>2.2200000000000002</v>
      </c>
      <c r="E623" s="226" t="s">
        <v>1047</v>
      </c>
      <c r="F623" s="234">
        <f t="shared" si="9"/>
        <v>0</v>
      </c>
    </row>
    <row r="624" spans="1:6" x14ac:dyDescent="0.25">
      <c r="A624" s="230">
        <v>29140</v>
      </c>
      <c r="B624" s="230" t="s">
        <v>457</v>
      </c>
      <c r="C624" s="228">
        <v>8</v>
      </c>
      <c r="D624" s="241">
        <v>1.95</v>
      </c>
      <c r="E624" s="226" t="s">
        <v>1047</v>
      </c>
      <c r="F624" s="234">
        <f t="shared" si="9"/>
        <v>15.6</v>
      </c>
    </row>
    <row r="625" spans="1:6" x14ac:dyDescent="0.25">
      <c r="A625" s="230">
        <v>29150</v>
      </c>
      <c r="B625" s="230" t="s">
        <v>458</v>
      </c>
      <c r="C625" s="228"/>
      <c r="D625" s="241">
        <v>0.85</v>
      </c>
      <c r="E625" s="226" t="s">
        <v>1047</v>
      </c>
      <c r="F625" s="234">
        <f t="shared" si="9"/>
        <v>0</v>
      </c>
    </row>
    <row r="626" spans="1:6" x14ac:dyDescent="0.25">
      <c r="A626" s="230">
        <v>29160</v>
      </c>
      <c r="B626" s="230" t="s">
        <v>459</v>
      </c>
      <c r="C626" s="228"/>
      <c r="D626" s="241">
        <v>1.65</v>
      </c>
      <c r="E626" s="226" t="s">
        <v>1047</v>
      </c>
      <c r="F626" s="234">
        <f t="shared" si="9"/>
        <v>0</v>
      </c>
    </row>
    <row r="627" spans="1:6" x14ac:dyDescent="0.25">
      <c r="A627" s="230">
        <v>29170</v>
      </c>
      <c r="B627" s="230" t="s">
        <v>460</v>
      </c>
      <c r="C627" s="228"/>
      <c r="D627" s="241">
        <v>2.08</v>
      </c>
      <c r="E627" s="226" t="s">
        <v>1047</v>
      </c>
      <c r="F627" s="234">
        <f t="shared" si="9"/>
        <v>0</v>
      </c>
    </row>
    <row r="628" spans="1:6" x14ac:dyDescent="0.25">
      <c r="A628" s="230">
        <v>29180</v>
      </c>
      <c r="B628" s="230" t="s">
        <v>461</v>
      </c>
      <c r="C628" s="228"/>
      <c r="D628" s="241">
        <v>3.85</v>
      </c>
      <c r="E628" s="226" t="s">
        <v>1047</v>
      </c>
      <c r="F628" s="234">
        <f t="shared" si="9"/>
        <v>0</v>
      </c>
    </row>
    <row r="629" spans="1:6" x14ac:dyDescent="0.25">
      <c r="A629" s="230">
        <v>29190</v>
      </c>
      <c r="B629" s="230" t="s">
        <v>462</v>
      </c>
      <c r="C629" s="228"/>
      <c r="D629" s="241">
        <v>1.66</v>
      </c>
      <c r="E629" s="226" t="s">
        <v>1047</v>
      </c>
      <c r="F629" s="234">
        <f t="shared" si="9"/>
        <v>0</v>
      </c>
    </row>
    <row r="630" spans="1:6" x14ac:dyDescent="0.25">
      <c r="A630" s="230">
        <v>29200</v>
      </c>
      <c r="B630" s="230" t="s">
        <v>463</v>
      </c>
      <c r="C630" s="228"/>
      <c r="D630" s="241">
        <v>1.66</v>
      </c>
      <c r="E630" s="226" t="s">
        <v>1047</v>
      </c>
      <c r="F630" s="234">
        <f t="shared" si="9"/>
        <v>0</v>
      </c>
    </row>
    <row r="631" spans="1:6" x14ac:dyDescent="0.25">
      <c r="A631" s="230">
        <v>29210</v>
      </c>
      <c r="B631" s="230" t="s">
        <v>464</v>
      </c>
      <c r="C631" s="228">
        <v>8</v>
      </c>
      <c r="D631" s="241">
        <v>1.42</v>
      </c>
      <c r="E631" s="226" t="s">
        <v>1047</v>
      </c>
      <c r="F631" s="234">
        <f t="shared" si="9"/>
        <v>11.36</v>
      </c>
    </row>
    <row r="632" spans="1:6" x14ac:dyDescent="0.25">
      <c r="A632" s="230">
        <v>29220</v>
      </c>
      <c r="B632" s="230" t="s">
        <v>465</v>
      </c>
      <c r="C632" s="228"/>
      <c r="D632" s="241">
        <v>1.58</v>
      </c>
      <c r="E632" s="226" t="s">
        <v>1047</v>
      </c>
      <c r="F632" s="234">
        <f t="shared" si="9"/>
        <v>0</v>
      </c>
    </row>
    <row r="633" spans="1:6" x14ac:dyDescent="0.25">
      <c r="A633" s="230">
        <v>29230</v>
      </c>
      <c r="B633" s="230" t="s">
        <v>466</v>
      </c>
      <c r="C633" s="228"/>
      <c r="D633" s="241">
        <v>2.4700000000000002</v>
      </c>
      <c r="E633" s="226" t="s">
        <v>1047</v>
      </c>
      <c r="F633" s="234">
        <f t="shared" si="9"/>
        <v>0</v>
      </c>
    </row>
    <row r="634" spans="1:6" x14ac:dyDescent="0.25">
      <c r="A634" s="230">
        <v>29240</v>
      </c>
      <c r="B634" s="230" t="s">
        <v>467</v>
      </c>
      <c r="C634" s="228"/>
      <c r="D634" s="241">
        <v>2.95</v>
      </c>
      <c r="E634" s="226" t="s">
        <v>1047</v>
      </c>
      <c r="F634" s="234">
        <f t="shared" si="9"/>
        <v>0</v>
      </c>
    </row>
    <row r="635" spans="1:6" x14ac:dyDescent="0.25">
      <c r="A635" s="230">
        <v>29250</v>
      </c>
      <c r="B635" s="230" t="s">
        <v>713</v>
      </c>
      <c r="C635" s="228"/>
      <c r="D635" s="241">
        <v>5.83</v>
      </c>
      <c r="E635" s="226" t="s">
        <v>1047</v>
      </c>
      <c r="F635" s="234">
        <f t="shared" si="9"/>
        <v>0</v>
      </c>
    </row>
    <row r="636" spans="1:6" x14ac:dyDescent="0.25">
      <c r="A636" s="230">
        <v>29260</v>
      </c>
      <c r="B636" s="230" t="s">
        <v>938</v>
      </c>
      <c r="C636" s="228"/>
      <c r="D636" s="241">
        <v>0</v>
      </c>
      <c r="E636" s="226" t="s">
        <v>1047</v>
      </c>
      <c r="F636" s="234">
        <f t="shared" si="9"/>
        <v>0</v>
      </c>
    </row>
    <row r="637" spans="1:6" x14ac:dyDescent="0.25">
      <c r="A637" s="230">
        <v>29270</v>
      </c>
      <c r="B637" s="230" t="s">
        <v>468</v>
      </c>
      <c r="C637" s="228"/>
      <c r="D637" s="241">
        <v>1.56</v>
      </c>
      <c r="E637" s="226" t="s">
        <v>1047</v>
      </c>
      <c r="F637" s="234">
        <f t="shared" si="9"/>
        <v>0</v>
      </c>
    </row>
    <row r="638" spans="1:6" x14ac:dyDescent="0.25">
      <c r="A638" s="230">
        <v>29280</v>
      </c>
      <c r="B638" s="230" t="s">
        <v>469</v>
      </c>
      <c r="C638" s="228"/>
      <c r="D638" s="241">
        <v>0</v>
      </c>
      <c r="E638" s="226" t="s">
        <v>1047</v>
      </c>
      <c r="F638" s="234">
        <f t="shared" si="9"/>
        <v>0</v>
      </c>
    </row>
    <row r="639" spans="1:6" x14ac:dyDescent="0.25">
      <c r="A639" s="230">
        <v>29290</v>
      </c>
      <c r="B639" s="230" t="s">
        <v>470</v>
      </c>
      <c r="C639" s="228"/>
      <c r="D639" s="241">
        <v>0</v>
      </c>
      <c r="E639" s="226" t="s">
        <v>1047</v>
      </c>
      <c r="F639" s="234">
        <f t="shared" si="9"/>
        <v>0</v>
      </c>
    </row>
    <row r="640" spans="1:6" x14ac:dyDescent="0.25">
      <c r="A640" s="230">
        <v>29300</v>
      </c>
      <c r="B640" s="230" t="s">
        <v>471</v>
      </c>
      <c r="C640" s="228"/>
      <c r="D640" s="241">
        <v>0</v>
      </c>
      <c r="E640" s="226" t="s">
        <v>1047</v>
      </c>
      <c r="F640" s="234">
        <f t="shared" si="9"/>
        <v>0</v>
      </c>
    </row>
    <row r="641" spans="1:8" x14ac:dyDescent="0.25">
      <c r="A641" s="230">
        <v>29310</v>
      </c>
      <c r="B641" s="230" t="s">
        <v>472</v>
      </c>
      <c r="C641" s="228"/>
      <c r="D641" s="241">
        <v>0</v>
      </c>
      <c r="E641" s="226" t="s">
        <v>1047</v>
      </c>
      <c r="F641" s="234">
        <f t="shared" si="9"/>
        <v>0</v>
      </c>
    </row>
    <row r="642" spans="1:8" x14ac:dyDescent="0.25">
      <c r="A642" s="230">
        <v>29320</v>
      </c>
      <c r="B642" s="230" t="s">
        <v>473</v>
      </c>
      <c r="C642" s="228"/>
      <c r="D642" s="241">
        <v>0</v>
      </c>
      <c r="E642" s="226" t="s">
        <v>1047</v>
      </c>
      <c r="F642" s="234">
        <f t="shared" si="9"/>
        <v>0</v>
      </c>
    </row>
    <row r="643" spans="1:8" x14ac:dyDescent="0.25">
      <c r="A643" s="230">
        <v>29330</v>
      </c>
      <c r="B643" s="230" t="s">
        <v>474</v>
      </c>
      <c r="C643" s="228"/>
      <c r="D643" s="241">
        <v>0</v>
      </c>
      <c r="E643" s="226" t="s">
        <v>1047</v>
      </c>
      <c r="F643" s="234">
        <f t="shared" si="9"/>
        <v>0</v>
      </c>
    </row>
    <row r="644" spans="1:8" x14ac:dyDescent="0.25">
      <c r="A644" s="230">
        <v>29340</v>
      </c>
      <c r="B644" s="230" t="s">
        <v>475</v>
      </c>
      <c r="C644" s="228"/>
      <c r="D644" s="241">
        <v>0</v>
      </c>
      <c r="E644" s="226" t="s">
        <v>1047</v>
      </c>
      <c r="F644" s="234">
        <f t="shared" si="9"/>
        <v>0</v>
      </c>
    </row>
    <row r="645" spans="1:8" x14ac:dyDescent="0.25">
      <c r="A645" s="230">
        <v>29350</v>
      </c>
      <c r="B645" s="230" t="s">
        <v>939</v>
      </c>
      <c r="C645" s="228"/>
      <c r="D645" s="241">
        <v>173.15</v>
      </c>
      <c r="E645" s="226" t="s">
        <v>1047</v>
      </c>
      <c r="F645" s="234">
        <f t="shared" si="9"/>
        <v>0</v>
      </c>
    </row>
    <row r="646" spans="1:8" x14ac:dyDescent="0.25">
      <c r="A646" s="230">
        <v>29360</v>
      </c>
      <c r="B646" s="230" t="s">
        <v>714</v>
      </c>
      <c r="C646" s="228"/>
      <c r="D646" s="241">
        <v>146.51</v>
      </c>
      <c r="E646" s="226" t="s">
        <v>1047</v>
      </c>
      <c r="F646" s="234">
        <f t="shared" si="9"/>
        <v>0</v>
      </c>
    </row>
    <row r="647" spans="1:8" x14ac:dyDescent="0.25">
      <c r="A647" s="230">
        <v>29370</v>
      </c>
      <c r="B647" s="226" t="s">
        <v>1752</v>
      </c>
      <c r="C647" s="228"/>
      <c r="D647" s="241">
        <v>370.44</v>
      </c>
      <c r="E647" s="226" t="s">
        <v>1047</v>
      </c>
      <c r="F647" s="234">
        <f t="shared" si="9"/>
        <v>0</v>
      </c>
    </row>
    <row r="648" spans="1:8" x14ac:dyDescent="0.25">
      <c r="A648" s="230">
        <v>29380</v>
      </c>
      <c r="B648" s="230" t="s">
        <v>715</v>
      </c>
      <c r="C648" s="228"/>
      <c r="D648" s="241">
        <v>78.989999999999995</v>
      </c>
      <c r="E648" s="226" t="s">
        <v>1047</v>
      </c>
      <c r="F648" s="234">
        <f t="shared" si="9"/>
        <v>0</v>
      </c>
    </row>
    <row r="649" spans="1:8" x14ac:dyDescent="0.25">
      <c r="A649" s="230">
        <v>29390</v>
      </c>
      <c r="B649" s="230" t="s">
        <v>476</v>
      </c>
      <c r="C649" s="260"/>
      <c r="D649" s="241">
        <v>162.30000000000001</v>
      </c>
      <c r="E649" s="262" t="s">
        <v>1047</v>
      </c>
      <c r="F649" s="234">
        <f t="shared" si="9"/>
        <v>0</v>
      </c>
    </row>
    <row r="650" spans="1:8" x14ac:dyDescent="0.25">
      <c r="A650" s="230">
        <v>29400</v>
      </c>
      <c r="B650" s="230" t="s">
        <v>477</v>
      </c>
      <c r="C650" s="228"/>
      <c r="D650" s="226">
        <v>124.35</v>
      </c>
      <c r="E650" s="226" t="s">
        <v>1047</v>
      </c>
      <c r="F650" s="234">
        <f t="shared" si="9"/>
        <v>0</v>
      </c>
    </row>
    <row r="651" spans="1:8" x14ac:dyDescent="0.25">
      <c r="A651" s="263">
        <v>29410</v>
      </c>
      <c r="B651" s="263" t="s">
        <v>1776</v>
      </c>
      <c r="C651" s="228"/>
      <c r="D651" s="226">
        <v>165.85</v>
      </c>
      <c r="E651" s="226" t="s">
        <v>1047</v>
      </c>
      <c r="F651" s="234">
        <f t="shared" si="9"/>
        <v>0</v>
      </c>
    </row>
    <row r="652" spans="1:8" x14ac:dyDescent="0.25">
      <c r="A652" s="263">
        <v>29410</v>
      </c>
      <c r="B652" s="263" t="s">
        <v>478</v>
      </c>
      <c r="C652" s="228"/>
      <c r="D652" s="226">
        <v>183.63</v>
      </c>
      <c r="E652" s="226" t="s">
        <v>1047</v>
      </c>
      <c r="F652" s="234">
        <f t="shared" ref="F652:F715" si="10">C652*D652</f>
        <v>0</v>
      </c>
    </row>
    <row r="653" spans="1:8" x14ac:dyDescent="0.25">
      <c r="A653" s="230">
        <v>29420</v>
      </c>
      <c r="B653" s="230" t="s">
        <v>479</v>
      </c>
      <c r="C653" s="228">
        <v>3</v>
      </c>
      <c r="D653" s="226">
        <v>175</v>
      </c>
      <c r="E653" s="226" t="s">
        <v>1047</v>
      </c>
      <c r="F653" s="234">
        <f t="shared" si="10"/>
        <v>525</v>
      </c>
    </row>
    <row r="654" spans="1:8" x14ac:dyDescent="0.25">
      <c r="A654" s="230">
        <v>29430</v>
      </c>
      <c r="B654" s="230" t="s">
        <v>480</v>
      </c>
      <c r="C654" s="228">
        <v>3</v>
      </c>
      <c r="D654" s="226">
        <v>265.89</v>
      </c>
      <c r="E654" s="226" t="s">
        <v>1047</v>
      </c>
      <c r="F654" s="234">
        <f t="shared" si="10"/>
        <v>797.67</v>
      </c>
    </row>
    <row r="655" spans="1:8" x14ac:dyDescent="0.25">
      <c r="A655" s="230">
        <v>29440</v>
      </c>
      <c r="B655" s="230" t="s">
        <v>481</v>
      </c>
      <c r="C655" s="228"/>
      <c r="D655" s="241">
        <v>375</v>
      </c>
      <c r="E655" s="226" t="s">
        <v>1047</v>
      </c>
      <c r="F655" s="234">
        <f t="shared" si="10"/>
        <v>0</v>
      </c>
      <c r="G655" s="238"/>
      <c r="H655" s="238"/>
    </row>
    <row r="656" spans="1:8" x14ac:dyDescent="0.25">
      <c r="A656" s="230">
        <v>29450</v>
      </c>
      <c r="B656" s="230" t="s">
        <v>1777</v>
      </c>
      <c r="C656" s="228"/>
      <c r="D656" s="241">
        <v>3.1</v>
      </c>
      <c r="E656" s="226" t="s">
        <v>1047</v>
      </c>
      <c r="F656" s="234">
        <f t="shared" si="10"/>
        <v>0</v>
      </c>
      <c r="G656" s="238"/>
      <c r="H656" s="238"/>
    </row>
    <row r="657" spans="1:8" x14ac:dyDescent="0.25">
      <c r="A657" s="230">
        <v>29460</v>
      </c>
      <c r="B657" s="230" t="s">
        <v>1778</v>
      </c>
      <c r="C657" s="228"/>
      <c r="D657" s="226">
        <v>2.02</v>
      </c>
      <c r="E657" s="226" t="s">
        <v>1047</v>
      </c>
      <c r="F657" s="234">
        <f t="shared" si="10"/>
        <v>0</v>
      </c>
      <c r="G657" s="238"/>
      <c r="H657" s="238"/>
    </row>
    <row r="658" spans="1:8" x14ac:dyDescent="0.25">
      <c r="A658" s="230">
        <v>29470</v>
      </c>
      <c r="B658" s="230" t="s">
        <v>1779</v>
      </c>
      <c r="C658" s="228"/>
      <c r="D658" s="226">
        <v>2.0699999999999998</v>
      </c>
      <c r="E658" s="226" t="s">
        <v>1047</v>
      </c>
      <c r="F658" s="234">
        <f t="shared" si="10"/>
        <v>0</v>
      </c>
      <c r="G658" s="238"/>
      <c r="H658" s="238"/>
    </row>
    <row r="659" spans="1:8" x14ac:dyDescent="0.25">
      <c r="A659" s="230">
        <v>29480</v>
      </c>
      <c r="B659" s="230" t="s">
        <v>1780</v>
      </c>
      <c r="C659" s="228">
        <v>6</v>
      </c>
      <c r="D659" s="226">
        <v>2.2000000000000002</v>
      </c>
      <c r="E659" s="226" t="s">
        <v>1047</v>
      </c>
      <c r="F659" s="234">
        <f t="shared" si="10"/>
        <v>13.200000000000001</v>
      </c>
      <c r="G659" s="238"/>
      <c r="H659" s="238"/>
    </row>
    <row r="660" spans="1:8" x14ac:dyDescent="0.25">
      <c r="A660" s="230">
        <v>29490</v>
      </c>
      <c r="B660" s="230" t="s">
        <v>1781</v>
      </c>
      <c r="C660" s="228"/>
      <c r="D660" s="226">
        <v>2.48</v>
      </c>
      <c r="E660" s="226" t="s">
        <v>1047</v>
      </c>
      <c r="F660" s="234">
        <f t="shared" si="10"/>
        <v>0</v>
      </c>
      <c r="G660" s="238"/>
      <c r="H660" s="238"/>
    </row>
    <row r="661" spans="1:8" x14ac:dyDescent="0.25">
      <c r="A661" s="230">
        <v>29500</v>
      </c>
      <c r="B661" s="230" t="s">
        <v>484</v>
      </c>
      <c r="C661" s="228"/>
      <c r="D661" s="241"/>
      <c r="E661" s="226" t="s">
        <v>1047</v>
      </c>
      <c r="F661" s="234">
        <f t="shared" si="10"/>
        <v>0</v>
      </c>
      <c r="G661" s="238"/>
      <c r="H661" s="238"/>
    </row>
    <row r="662" spans="1:8" x14ac:dyDescent="0.25">
      <c r="A662" s="230">
        <v>29510</v>
      </c>
      <c r="B662" s="230" t="s">
        <v>721</v>
      </c>
      <c r="C662" s="228"/>
      <c r="D662" s="241"/>
      <c r="E662" s="226" t="s">
        <v>1047</v>
      </c>
      <c r="F662" s="234">
        <f t="shared" si="10"/>
        <v>0</v>
      </c>
      <c r="G662" s="238"/>
      <c r="H662" s="238"/>
    </row>
    <row r="663" spans="1:8" x14ac:dyDescent="0.25">
      <c r="A663" s="230">
        <v>29520</v>
      </c>
      <c r="B663" s="230" t="s">
        <v>485</v>
      </c>
      <c r="C663" s="228">
        <v>3</v>
      </c>
      <c r="D663" s="241">
        <v>142</v>
      </c>
      <c r="E663" s="226" t="s">
        <v>1047</v>
      </c>
      <c r="F663" s="234">
        <f t="shared" si="10"/>
        <v>426</v>
      </c>
      <c r="G663" s="238"/>
      <c r="H663" s="238"/>
    </row>
    <row r="664" spans="1:8" x14ac:dyDescent="0.25">
      <c r="A664" s="230">
        <v>29530</v>
      </c>
      <c r="B664" s="230" t="s">
        <v>486</v>
      </c>
      <c r="C664" s="228">
        <v>1</v>
      </c>
      <c r="D664" s="241">
        <v>133.55000000000001</v>
      </c>
      <c r="E664" s="226" t="s">
        <v>1047</v>
      </c>
      <c r="F664" s="234">
        <f t="shared" si="10"/>
        <v>133.55000000000001</v>
      </c>
    </row>
    <row r="665" spans="1:8" x14ac:dyDescent="0.25">
      <c r="A665" s="230">
        <v>29540</v>
      </c>
      <c r="B665" s="230" t="s">
        <v>722</v>
      </c>
      <c r="C665" s="228"/>
      <c r="D665" s="241"/>
      <c r="E665" s="226" t="s">
        <v>1047</v>
      </c>
      <c r="F665" s="234">
        <f t="shared" si="10"/>
        <v>0</v>
      </c>
    </row>
    <row r="666" spans="1:8" x14ac:dyDescent="0.25">
      <c r="A666" s="230">
        <v>29550</v>
      </c>
      <c r="B666" s="230" t="s">
        <v>487</v>
      </c>
      <c r="C666" s="228"/>
      <c r="D666" s="241"/>
      <c r="E666" s="226" t="s">
        <v>1047</v>
      </c>
      <c r="F666" s="234">
        <f t="shared" si="10"/>
        <v>0</v>
      </c>
      <c r="G666" s="238"/>
      <c r="H666" s="238"/>
    </row>
    <row r="667" spans="1:8" x14ac:dyDescent="0.25">
      <c r="A667" s="230">
        <v>29560</v>
      </c>
      <c r="B667" s="230" t="s">
        <v>723</v>
      </c>
      <c r="C667" s="228"/>
      <c r="D667" s="241"/>
      <c r="E667" s="226" t="s">
        <v>1047</v>
      </c>
      <c r="F667" s="234">
        <f t="shared" si="10"/>
        <v>0</v>
      </c>
      <c r="G667" s="238"/>
      <c r="H667" s="238"/>
    </row>
    <row r="668" spans="1:8" x14ac:dyDescent="0.25">
      <c r="A668" s="230">
        <v>30000</v>
      </c>
      <c r="B668" s="230" t="s">
        <v>1764</v>
      </c>
      <c r="C668" s="228">
        <v>19</v>
      </c>
      <c r="D668" s="226">
        <v>3.05</v>
      </c>
      <c r="E668" s="226" t="s">
        <v>1047</v>
      </c>
      <c r="F668" s="234">
        <f t="shared" si="10"/>
        <v>57.949999999999996</v>
      </c>
      <c r="G668" s="238"/>
      <c r="H668" s="238"/>
    </row>
    <row r="669" spans="1:8" x14ac:dyDescent="0.25">
      <c r="A669" s="230">
        <v>30010</v>
      </c>
      <c r="B669" s="230" t="s">
        <v>940</v>
      </c>
      <c r="C669" s="228">
        <v>12</v>
      </c>
      <c r="D669" s="226">
        <v>3.48</v>
      </c>
      <c r="E669" s="226" t="s">
        <v>1047</v>
      </c>
      <c r="F669" s="234">
        <f t="shared" si="10"/>
        <v>41.76</v>
      </c>
      <c r="G669" s="238"/>
      <c r="H669" s="238"/>
    </row>
    <row r="670" spans="1:8" x14ac:dyDescent="0.25">
      <c r="A670" s="230">
        <v>30020</v>
      </c>
      <c r="B670" s="230" t="s">
        <v>941</v>
      </c>
      <c r="C670" s="228">
        <v>2</v>
      </c>
      <c r="D670" s="226">
        <v>4.0199999999999996</v>
      </c>
      <c r="E670" s="226" t="s">
        <v>1047</v>
      </c>
      <c r="F670" s="234">
        <f t="shared" si="10"/>
        <v>8.0399999999999991</v>
      </c>
      <c r="G670" s="238"/>
      <c r="H670" s="238"/>
    </row>
    <row r="671" spans="1:8" x14ac:dyDescent="0.25">
      <c r="A671" s="230">
        <v>30030</v>
      </c>
      <c r="B671" s="230" t="s">
        <v>942</v>
      </c>
      <c r="C671" s="228"/>
      <c r="D671" s="226">
        <v>3.78</v>
      </c>
      <c r="E671" s="226" t="s">
        <v>1047</v>
      </c>
      <c r="F671" s="234">
        <f t="shared" si="10"/>
        <v>0</v>
      </c>
      <c r="G671" s="238"/>
      <c r="H671" s="238"/>
    </row>
    <row r="672" spans="1:8" x14ac:dyDescent="0.25">
      <c r="A672" s="230">
        <v>30040</v>
      </c>
      <c r="B672" s="230" t="s">
        <v>943</v>
      </c>
      <c r="C672" s="228"/>
      <c r="D672" s="226">
        <v>4.45</v>
      </c>
      <c r="E672" s="226" t="s">
        <v>1047</v>
      </c>
      <c r="F672" s="234">
        <f t="shared" si="10"/>
        <v>0</v>
      </c>
      <c r="G672" s="238"/>
      <c r="H672" s="238"/>
    </row>
    <row r="673" spans="1:8" x14ac:dyDescent="0.25">
      <c r="A673" s="230">
        <v>30050</v>
      </c>
      <c r="B673" s="230" t="s">
        <v>944</v>
      </c>
      <c r="C673" s="228"/>
      <c r="D673" s="241">
        <v>4.01</v>
      </c>
      <c r="E673" s="226" t="s">
        <v>1047</v>
      </c>
      <c r="F673" s="234">
        <f t="shared" si="10"/>
        <v>0</v>
      </c>
      <c r="G673" s="238"/>
      <c r="H673" s="238"/>
    </row>
    <row r="674" spans="1:8" x14ac:dyDescent="0.25">
      <c r="A674" s="230">
        <v>30060</v>
      </c>
      <c r="B674" s="230" t="s">
        <v>945</v>
      </c>
      <c r="C674" s="228"/>
      <c r="D674" s="241"/>
      <c r="E674" s="226" t="s">
        <v>1047</v>
      </c>
      <c r="F674" s="234">
        <f t="shared" si="10"/>
        <v>0</v>
      </c>
      <c r="G674" s="238"/>
      <c r="H674" s="238"/>
    </row>
    <row r="675" spans="1:8" x14ac:dyDescent="0.25">
      <c r="A675" s="230">
        <v>30070</v>
      </c>
      <c r="B675" s="230" t="s">
        <v>489</v>
      </c>
      <c r="C675" s="228"/>
      <c r="D675" s="241">
        <v>8.42</v>
      </c>
      <c r="E675" s="226" t="s">
        <v>1047</v>
      </c>
      <c r="F675" s="234">
        <f t="shared" si="10"/>
        <v>0</v>
      </c>
      <c r="G675" s="238"/>
      <c r="H675" s="238"/>
    </row>
    <row r="676" spans="1:8" x14ac:dyDescent="0.25">
      <c r="A676" s="230">
        <v>30080</v>
      </c>
      <c r="B676" s="230" t="s">
        <v>490</v>
      </c>
      <c r="C676" s="228"/>
      <c r="D676" s="241">
        <v>7.39</v>
      </c>
      <c r="E676" s="226" t="s">
        <v>1047</v>
      </c>
      <c r="F676" s="234">
        <f t="shared" si="10"/>
        <v>0</v>
      </c>
    </row>
    <row r="677" spans="1:8" x14ac:dyDescent="0.25">
      <c r="A677" s="230">
        <v>30090</v>
      </c>
      <c r="B677" s="230" t="s">
        <v>491</v>
      </c>
      <c r="C677" s="228"/>
      <c r="D677" s="241">
        <v>14.96</v>
      </c>
      <c r="E677" s="226" t="s">
        <v>1047</v>
      </c>
      <c r="F677" s="234">
        <f t="shared" si="10"/>
        <v>0</v>
      </c>
      <c r="G677" s="239"/>
      <c r="H677" s="239"/>
    </row>
    <row r="678" spans="1:8" x14ac:dyDescent="0.25">
      <c r="A678" s="230">
        <v>30100</v>
      </c>
      <c r="B678" s="230" t="s">
        <v>724</v>
      </c>
      <c r="C678" s="228"/>
      <c r="D678" s="226">
        <v>2.97</v>
      </c>
      <c r="E678" s="226" t="s">
        <v>1047</v>
      </c>
      <c r="F678" s="234">
        <f t="shared" si="10"/>
        <v>0</v>
      </c>
      <c r="G678" s="238"/>
      <c r="H678" s="238"/>
    </row>
    <row r="679" spans="1:8" x14ac:dyDescent="0.25">
      <c r="A679" s="230">
        <v>30110</v>
      </c>
      <c r="B679" s="230" t="s">
        <v>946</v>
      </c>
      <c r="C679" s="228"/>
      <c r="D679" s="241"/>
      <c r="E679" s="226" t="s">
        <v>1047</v>
      </c>
      <c r="F679" s="234">
        <f t="shared" si="10"/>
        <v>0</v>
      </c>
      <c r="G679" s="238"/>
      <c r="H679" s="238"/>
    </row>
    <row r="680" spans="1:8" x14ac:dyDescent="0.25">
      <c r="A680" s="230">
        <v>30120</v>
      </c>
      <c r="B680" s="230" t="s">
        <v>947</v>
      </c>
      <c r="C680" s="228"/>
      <c r="D680" s="241"/>
      <c r="E680" s="226" t="s">
        <v>1047</v>
      </c>
      <c r="F680" s="234">
        <f t="shared" si="10"/>
        <v>0</v>
      </c>
      <c r="G680" s="238"/>
      <c r="H680" s="238"/>
    </row>
    <row r="681" spans="1:8" x14ac:dyDescent="0.25">
      <c r="A681" s="230">
        <v>30130</v>
      </c>
      <c r="B681" s="230" t="s">
        <v>725</v>
      </c>
      <c r="C681" s="228">
        <v>10</v>
      </c>
      <c r="D681" s="241">
        <v>2.04</v>
      </c>
      <c r="E681" s="226" t="s">
        <v>1047</v>
      </c>
      <c r="F681" s="234">
        <f t="shared" si="10"/>
        <v>20.399999999999999</v>
      </c>
      <c r="G681" s="238"/>
      <c r="H681" s="238"/>
    </row>
    <row r="682" spans="1:8" x14ac:dyDescent="0.25">
      <c r="A682" s="230">
        <v>30140</v>
      </c>
      <c r="B682" s="230" t="s">
        <v>726</v>
      </c>
      <c r="C682" s="228">
        <v>19</v>
      </c>
      <c r="D682" s="241">
        <v>2.52</v>
      </c>
      <c r="E682" s="226" t="s">
        <v>1047</v>
      </c>
      <c r="F682" s="234">
        <f t="shared" si="10"/>
        <v>47.88</v>
      </c>
      <c r="G682" s="238"/>
      <c r="H682" s="238"/>
    </row>
    <row r="683" spans="1:8" x14ac:dyDescent="0.25">
      <c r="A683" s="230">
        <v>30150</v>
      </c>
      <c r="B683" s="230" t="s">
        <v>727</v>
      </c>
      <c r="C683" s="228"/>
      <c r="D683" s="241">
        <v>3.53</v>
      </c>
      <c r="E683" s="226" t="s">
        <v>1047</v>
      </c>
      <c r="F683" s="234">
        <f t="shared" si="10"/>
        <v>0</v>
      </c>
      <c r="G683" s="238"/>
      <c r="H683" s="238"/>
    </row>
    <row r="684" spans="1:8" x14ac:dyDescent="0.25">
      <c r="A684" s="230">
        <v>30160</v>
      </c>
      <c r="B684" s="230" t="s">
        <v>728</v>
      </c>
      <c r="C684" s="228"/>
      <c r="D684" s="241">
        <v>5.0999999999999996</v>
      </c>
      <c r="E684" s="226" t="s">
        <v>1047</v>
      </c>
      <c r="F684" s="234">
        <f t="shared" si="10"/>
        <v>0</v>
      </c>
      <c r="G684" s="238"/>
      <c r="H684" s="238"/>
    </row>
    <row r="685" spans="1:8" x14ac:dyDescent="0.25">
      <c r="A685" s="230">
        <v>30170</v>
      </c>
      <c r="B685" s="230" t="s">
        <v>948</v>
      </c>
      <c r="C685" s="260">
        <v>5</v>
      </c>
      <c r="D685" s="226">
        <v>9.52</v>
      </c>
      <c r="E685" s="259" t="s">
        <v>1047</v>
      </c>
      <c r="F685" s="234">
        <f t="shared" si="10"/>
        <v>47.599999999999994</v>
      </c>
    </row>
    <row r="686" spans="1:8" x14ac:dyDescent="0.25">
      <c r="A686" s="230">
        <v>30180</v>
      </c>
      <c r="B686" s="230" t="s">
        <v>729</v>
      </c>
      <c r="C686" s="228"/>
      <c r="D686" s="226">
        <v>2.2000000000000002</v>
      </c>
      <c r="E686" s="226" t="s">
        <v>1047</v>
      </c>
      <c r="F686" s="234">
        <f t="shared" si="10"/>
        <v>0</v>
      </c>
      <c r="G686" s="238"/>
      <c r="H686" s="238"/>
    </row>
    <row r="687" spans="1:8" x14ac:dyDescent="0.25">
      <c r="A687" s="263">
        <v>30185</v>
      </c>
      <c r="B687" s="263" t="s">
        <v>1782</v>
      </c>
      <c r="C687" s="228"/>
      <c r="D687" s="226">
        <v>2.35</v>
      </c>
      <c r="E687" s="226" t="s">
        <v>1047</v>
      </c>
      <c r="F687" s="234">
        <f t="shared" si="10"/>
        <v>0</v>
      </c>
      <c r="G687" s="238"/>
      <c r="H687" s="238"/>
    </row>
    <row r="688" spans="1:8" x14ac:dyDescent="0.25">
      <c r="A688" s="230">
        <v>30190</v>
      </c>
      <c r="B688" s="230" t="s">
        <v>730</v>
      </c>
      <c r="C688" s="228"/>
      <c r="D688" s="226">
        <v>2.2000000000000002</v>
      </c>
      <c r="E688" s="226" t="s">
        <v>1047</v>
      </c>
      <c r="F688" s="234">
        <f t="shared" si="10"/>
        <v>0</v>
      </c>
      <c r="G688" s="238"/>
      <c r="H688" s="238"/>
    </row>
    <row r="689" spans="1:8" x14ac:dyDescent="0.25">
      <c r="A689" s="230">
        <v>30200</v>
      </c>
      <c r="B689" s="236" t="s">
        <v>949</v>
      </c>
      <c r="C689" s="230"/>
      <c r="D689" s="226">
        <v>2.4300000000000002</v>
      </c>
      <c r="E689" s="226" t="s">
        <v>1047</v>
      </c>
      <c r="F689" s="234">
        <f t="shared" si="10"/>
        <v>0</v>
      </c>
      <c r="G689" s="238"/>
      <c r="H689" s="238"/>
    </row>
    <row r="690" spans="1:8" x14ac:dyDescent="0.25">
      <c r="A690" s="230">
        <v>30210</v>
      </c>
      <c r="B690" s="230" t="s">
        <v>950</v>
      </c>
      <c r="C690" s="228"/>
      <c r="D690" s="226">
        <v>1.95</v>
      </c>
      <c r="E690" s="226" t="s">
        <v>1047</v>
      </c>
      <c r="F690" s="234">
        <f t="shared" si="10"/>
        <v>0</v>
      </c>
      <c r="G690" s="238"/>
      <c r="H690" s="238"/>
    </row>
    <row r="691" spans="1:8" x14ac:dyDescent="0.25">
      <c r="A691" s="230">
        <v>30220</v>
      </c>
      <c r="B691" s="230" t="s">
        <v>951</v>
      </c>
      <c r="C691" s="228"/>
      <c r="D691" s="226">
        <v>2.65</v>
      </c>
      <c r="E691" s="226" t="s">
        <v>1047</v>
      </c>
      <c r="F691" s="234">
        <f t="shared" si="10"/>
        <v>0</v>
      </c>
      <c r="G691" s="238"/>
      <c r="H691" s="238"/>
    </row>
    <row r="692" spans="1:8" x14ac:dyDescent="0.25">
      <c r="A692" s="230">
        <v>30230</v>
      </c>
      <c r="B692" s="230" t="s">
        <v>952</v>
      </c>
      <c r="C692" s="228"/>
      <c r="D692" s="226">
        <v>2.73</v>
      </c>
      <c r="E692" s="226" t="s">
        <v>1047</v>
      </c>
      <c r="F692" s="234">
        <f t="shared" si="10"/>
        <v>0</v>
      </c>
      <c r="G692" s="238"/>
      <c r="H692" s="238"/>
    </row>
    <row r="693" spans="1:8" x14ac:dyDescent="0.25">
      <c r="A693" s="230">
        <v>30240</v>
      </c>
      <c r="B693" s="230" t="s">
        <v>953</v>
      </c>
      <c r="C693" s="228"/>
      <c r="D693" s="226">
        <v>3.48</v>
      </c>
      <c r="E693" s="226" t="s">
        <v>1047</v>
      </c>
      <c r="F693" s="234">
        <f t="shared" si="10"/>
        <v>0</v>
      </c>
      <c r="G693" s="238"/>
      <c r="H693" s="238"/>
    </row>
    <row r="694" spans="1:8" x14ac:dyDescent="0.25">
      <c r="A694" s="230">
        <v>30250</v>
      </c>
      <c r="B694" s="230" t="s">
        <v>954</v>
      </c>
      <c r="C694" s="228">
        <v>4</v>
      </c>
      <c r="D694" s="226">
        <v>4.59</v>
      </c>
      <c r="E694" s="226" t="s">
        <v>1047</v>
      </c>
      <c r="F694" s="234">
        <f t="shared" si="10"/>
        <v>18.36</v>
      </c>
      <c r="G694" s="238"/>
      <c r="H694" s="238"/>
    </row>
    <row r="695" spans="1:8" x14ac:dyDescent="0.25">
      <c r="A695" s="230">
        <v>30260</v>
      </c>
      <c r="B695" s="230" t="s">
        <v>1837</v>
      </c>
      <c r="C695" s="228"/>
      <c r="D695" s="226"/>
      <c r="E695" s="226" t="s">
        <v>1047</v>
      </c>
      <c r="F695" s="234">
        <f t="shared" si="10"/>
        <v>0</v>
      </c>
      <c r="G695" s="238"/>
      <c r="H695" s="238"/>
    </row>
    <row r="696" spans="1:8" x14ac:dyDescent="0.25">
      <c r="A696" s="230">
        <v>30270</v>
      </c>
      <c r="B696" s="230" t="s">
        <v>492</v>
      </c>
      <c r="C696" s="228">
        <v>4</v>
      </c>
      <c r="D696" s="226">
        <v>4.25</v>
      </c>
      <c r="E696" s="226" t="s">
        <v>1047</v>
      </c>
      <c r="F696" s="234">
        <f t="shared" si="10"/>
        <v>17</v>
      </c>
      <c r="G696" s="238"/>
      <c r="H696" s="238"/>
    </row>
    <row r="697" spans="1:8" x14ac:dyDescent="0.25">
      <c r="A697" s="230">
        <v>30280</v>
      </c>
      <c r="B697" s="230" t="s">
        <v>493</v>
      </c>
      <c r="C697" s="228">
        <v>3</v>
      </c>
      <c r="D697" s="226">
        <v>5.35</v>
      </c>
      <c r="E697" s="226" t="s">
        <v>1047</v>
      </c>
      <c r="F697" s="234">
        <f t="shared" si="10"/>
        <v>16.049999999999997</v>
      </c>
      <c r="G697" s="238"/>
      <c r="H697" s="238"/>
    </row>
    <row r="698" spans="1:8" x14ac:dyDescent="0.25">
      <c r="A698" s="230">
        <v>30290</v>
      </c>
      <c r="B698" s="230" t="s">
        <v>731</v>
      </c>
      <c r="C698" s="228">
        <v>1</v>
      </c>
      <c r="D698" s="226">
        <v>8.66</v>
      </c>
      <c r="E698" s="226" t="s">
        <v>1047</v>
      </c>
      <c r="F698" s="234">
        <f t="shared" si="10"/>
        <v>8.66</v>
      </c>
      <c r="G698" s="238"/>
      <c r="H698" s="238"/>
    </row>
    <row r="699" spans="1:8" x14ac:dyDescent="0.25">
      <c r="A699" s="230">
        <v>30300</v>
      </c>
      <c r="B699" s="230" t="s">
        <v>956</v>
      </c>
      <c r="C699" s="228"/>
      <c r="D699" s="226">
        <v>7.99</v>
      </c>
      <c r="E699" s="226" t="s">
        <v>1047</v>
      </c>
      <c r="F699" s="234">
        <f t="shared" si="10"/>
        <v>0</v>
      </c>
      <c r="G699" s="238"/>
      <c r="H699" s="238"/>
    </row>
    <row r="700" spans="1:8" x14ac:dyDescent="0.25">
      <c r="A700" s="230">
        <v>30310</v>
      </c>
      <c r="B700" s="230" t="s">
        <v>958</v>
      </c>
      <c r="C700" s="228"/>
      <c r="D700" s="226">
        <v>6.48</v>
      </c>
      <c r="E700" s="226" t="s">
        <v>1047</v>
      </c>
      <c r="F700" s="234">
        <f t="shared" si="10"/>
        <v>0</v>
      </c>
      <c r="G700" s="238"/>
      <c r="H700" s="238"/>
    </row>
    <row r="701" spans="1:8" x14ac:dyDescent="0.25">
      <c r="A701" s="230">
        <v>30320</v>
      </c>
      <c r="B701" s="230" t="s">
        <v>732</v>
      </c>
      <c r="C701" s="228"/>
      <c r="D701" s="226">
        <v>8.77</v>
      </c>
      <c r="E701" s="226" t="s">
        <v>1047</v>
      </c>
      <c r="F701" s="234">
        <f t="shared" si="10"/>
        <v>0</v>
      </c>
      <c r="G701" s="238"/>
      <c r="H701" s="238"/>
    </row>
    <row r="702" spans="1:8" x14ac:dyDescent="0.25">
      <c r="A702" s="230">
        <v>30330</v>
      </c>
      <c r="B702" s="230" t="s">
        <v>494</v>
      </c>
      <c r="C702" s="228"/>
      <c r="D702" s="226">
        <v>9.27</v>
      </c>
      <c r="E702" s="226" t="s">
        <v>1047</v>
      </c>
      <c r="F702" s="234">
        <f t="shared" si="10"/>
        <v>0</v>
      </c>
      <c r="G702" s="238"/>
      <c r="H702" s="238"/>
    </row>
    <row r="703" spans="1:8" x14ac:dyDescent="0.25">
      <c r="A703" s="230">
        <v>30340</v>
      </c>
      <c r="B703" s="230" t="s">
        <v>957</v>
      </c>
      <c r="C703" s="228">
        <v>2</v>
      </c>
      <c r="D703" s="226">
        <v>11.6</v>
      </c>
      <c r="E703" s="226" t="s">
        <v>1047</v>
      </c>
      <c r="F703" s="234">
        <f t="shared" si="10"/>
        <v>23.2</v>
      </c>
      <c r="G703" s="238"/>
      <c r="H703" s="238"/>
    </row>
    <row r="704" spans="1:8" x14ac:dyDescent="0.25">
      <c r="A704" s="230">
        <v>30350</v>
      </c>
      <c r="B704" s="230" t="s">
        <v>733</v>
      </c>
      <c r="C704" s="228"/>
      <c r="D704" s="226">
        <v>8.36</v>
      </c>
      <c r="E704" s="226" t="s">
        <v>1047</v>
      </c>
      <c r="F704" s="234">
        <f t="shared" si="10"/>
        <v>0</v>
      </c>
    </row>
    <row r="705" spans="1:6" x14ac:dyDescent="0.25">
      <c r="A705" s="230">
        <v>30360</v>
      </c>
      <c r="B705" s="230" t="s">
        <v>960</v>
      </c>
      <c r="C705" s="228"/>
      <c r="D705" s="226">
        <v>13.77</v>
      </c>
      <c r="E705" s="226" t="s">
        <v>1047</v>
      </c>
      <c r="F705" s="234">
        <f t="shared" si="10"/>
        <v>0</v>
      </c>
    </row>
    <row r="706" spans="1:6" x14ac:dyDescent="0.25">
      <c r="A706" s="230">
        <v>30370</v>
      </c>
      <c r="B706" s="230" t="s">
        <v>959</v>
      </c>
      <c r="C706" s="228"/>
      <c r="D706" s="226">
        <v>13</v>
      </c>
      <c r="E706" s="226" t="s">
        <v>1047</v>
      </c>
      <c r="F706" s="234">
        <f t="shared" si="10"/>
        <v>0</v>
      </c>
    </row>
    <row r="707" spans="1:6" x14ac:dyDescent="0.25">
      <c r="A707" s="230">
        <v>30380</v>
      </c>
      <c r="B707" s="230" t="s">
        <v>961</v>
      </c>
      <c r="C707" s="228">
        <v>1</v>
      </c>
      <c r="D707" s="226">
        <v>15.66</v>
      </c>
      <c r="E707" s="226" t="s">
        <v>1047</v>
      </c>
      <c r="F707" s="234">
        <f t="shared" si="10"/>
        <v>15.66</v>
      </c>
    </row>
    <row r="708" spans="1:6" x14ac:dyDescent="0.25">
      <c r="A708" s="230">
        <v>30390</v>
      </c>
      <c r="B708" s="230" t="s">
        <v>734</v>
      </c>
      <c r="C708" s="228"/>
      <c r="D708" s="226">
        <v>9.0500000000000007</v>
      </c>
      <c r="E708" s="226" t="s">
        <v>1047</v>
      </c>
      <c r="F708" s="234">
        <f t="shared" si="10"/>
        <v>0</v>
      </c>
    </row>
    <row r="709" spans="1:6" x14ac:dyDescent="0.25">
      <c r="A709" s="230">
        <v>30400</v>
      </c>
      <c r="B709" s="230" t="s">
        <v>495</v>
      </c>
      <c r="C709" s="228"/>
      <c r="D709" s="226"/>
      <c r="E709" s="226" t="s">
        <v>1047</v>
      </c>
      <c r="F709" s="234">
        <f t="shared" si="10"/>
        <v>0</v>
      </c>
    </row>
    <row r="710" spans="1:6" x14ac:dyDescent="0.25">
      <c r="A710" s="230">
        <v>30410</v>
      </c>
      <c r="B710" s="230" t="s">
        <v>496</v>
      </c>
      <c r="C710" s="228"/>
      <c r="D710" s="226"/>
      <c r="E710" s="226" t="s">
        <v>1047</v>
      </c>
      <c r="F710" s="234">
        <f t="shared" si="10"/>
        <v>0</v>
      </c>
    </row>
    <row r="711" spans="1:6" x14ac:dyDescent="0.25">
      <c r="A711" s="230">
        <v>30420</v>
      </c>
      <c r="B711" s="230" t="s">
        <v>497</v>
      </c>
      <c r="C711" s="228"/>
      <c r="D711" s="226">
        <v>9.44</v>
      </c>
      <c r="E711" s="226" t="s">
        <v>1047</v>
      </c>
      <c r="F711" s="234">
        <f t="shared" si="10"/>
        <v>0</v>
      </c>
    </row>
    <row r="712" spans="1:6" x14ac:dyDescent="0.25">
      <c r="A712" s="230">
        <v>30430</v>
      </c>
      <c r="B712" s="230" t="s">
        <v>498</v>
      </c>
      <c r="C712" s="228"/>
      <c r="D712" s="226">
        <v>12.33</v>
      </c>
      <c r="E712" s="226" t="s">
        <v>1047</v>
      </c>
      <c r="F712" s="234">
        <f t="shared" si="10"/>
        <v>0</v>
      </c>
    </row>
    <row r="713" spans="1:6" x14ac:dyDescent="0.25">
      <c r="A713" s="230">
        <v>30440</v>
      </c>
      <c r="B713" s="230" t="s">
        <v>499</v>
      </c>
      <c r="C713" s="228"/>
      <c r="D713" s="226">
        <v>16.5</v>
      </c>
      <c r="E713" s="226" t="s">
        <v>1047</v>
      </c>
      <c r="F713" s="234">
        <f t="shared" si="10"/>
        <v>0</v>
      </c>
    </row>
    <row r="714" spans="1:6" x14ac:dyDescent="0.25">
      <c r="A714" s="230">
        <v>30450</v>
      </c>
      <c r="B714" s="230" t="s">
        <v>500</v>
      </c>
      <c r="C714" s="228"/>
      <c r="D714" s="226">
        <v>15.8</v>
      </c>
      <c r="E714" s="226" t="s">
        <v>1047</v>
      </c>
      <c r="F714" s="234">
        <f t="shared" si="10"/>
        <v>0</v>
      </c>
    </row>
    <row r="715" spans="1:6" x14ac:dyDescent="0.25">
      <c r="A715" s="230">
        <v>30460</v>
      </c>
      <c r="B715" s="230" t="s">
        <v>501</v>
      </c>
      <c r="C715" s="228"/>
      <c r="D715" s="226">
        <v>17.03</v>
      </c>
      <c r="E715" s="226" t="s">
        <v>1047</v>
      </c>
      <c r="F715" s="234">
        <f t="shared" si="10"/>
        <v>0</v>
      </c>
    </row>
    <row r="716" spans="1:6" x14ac:dyDescent="0.25">
      <c r="A716" s="230">
        <v>30470</v>
      </c>
      <c r="B716" s="230" t="s">
        <v>502</v>
      </c>
      <c r="C716" s="228"/>
      <c r="D716" s="226">
        <v>18.899999999999999</v>
      </c>
      <c r="E716" s="226" t="s">
        <v>1047</v>
      </c>
      <c r="F716" s="234">
        <f t="shared" ref="F716:F779" si="11">C716*D716</f>
        <v>0</v>
      </c>
    </row>
    <row r="717" spans="1:6" x14ac:dyDescent="0.25">
      <c r="A717" s="230">
        <v>30480</v>
      </c>
      <c r="B717" s="230" t="s">
        <v>503</v>
      </c>
      <c r="C717" s="228"/>
      <c r="D717" s="226">
        <v>20.8</v>
      </c>
      <c r="E717" s="226" t="s">
        <v>1047</v>
      </c>
      <c r="F717" s="234">
        <f t="shared" si="11"/>
        <v>0</v>
      </c>
    </row>
    <row r="718" spans="1:6" x14ac:dyDescent="0.25">
      <c r="A718" s="230">
        <v>30490</v>
      </c>
      <c r="B718" s="230" t="s">
        <v>504</v>
      </c>
      <c r="C718" s="228"/>
      <c r="D718" s="226">
        <v>17.55</v>
      </c>
      <c r="E718" s="226" t="s">
        <v>1047</v>
      </c>
      <c r="F718" s="234">
        <f t="shared" si="11"/>
        <v>0</v>
      </c>
    </row>
    <row r="719" spans="1:6" x14ac:dyDescent="0.25">
      <c r="A719" s="230">
        <v>30500</v>
      </c>
      <c r="B719" s="230" t="s">
        <v>962</v>
      </c>
      <c r="C719" s="228"/>
      <c r="D719" s="226">
        <v>21.02</v>
      </c>
      <c r="E719" s="226" t="s">
        <v>1047</v>
      </c>
      <c r="F719" s="234">
        <f t="shared" si="11"/>
        <v>0</v>
      </c>
    </row>
    <row r="720" spans="1:6" x14ac:dyDescent="0.25">
      <c r="A720" s="230">
        <v>30510</v>
      </c>
      <c r="B720" s="230" t="s">
        <v>505</v>
      </c>
      <c r="C720" s="228"/>
      <c r="D720" s="226">
        <v>21.8</v>
      </c>
      <c r="E720" s="226" t="s">
        <v>1047</v>
      </c>
      <c r="F720" s="234">
        <f t="shared" si="11"/>
        <v>0</v>
      </c>
    </row>
    <row r="721" spans="1:6" x14ac:dyDescent="0.25">
      <c r="A721" s="230">
        <v>30520</v>
      </c>
      <c r="B721" s="230" t="s">
        <v>506</v>
      </c>
      <c r="C721" s="228"/>
      <c r="D721" s="226">
        <v>25.33</v>
      </c>
      <c r="E721" s="226" t="s">
        <v>1047</v>
      </c>
      <c r="F721" s="234">
        <f t="shared" si="11"/>
        <v>0</v>
      </c>
    </row>
    <row r="722" spans="1:6" x14ac:dyDescent="0.25">
      <c r="A722" s="230">
        <v>30530</v>
      </c>
      <c r="B722" s="230" t="s">
        <v>507</v>
      </c>
      <c r="C722" s="226"/>
      <c r="D722" s="226">
        <v>1.66</v>
      </c>
      <c r="E722" s="226" t="s">
        <v>1047</v>
      </c>
      <c r="F722" s="234">
        <f t="shared" si="11"/>
        <v>0</v>
      </c>
    </row>
    <row r="723" spans="1:6" x14ac:dyDescent="0.25">
      <c r="A723" s="230">
        <v>30540</v>
      </c>
      <c r="B723" s="230" t="s">
        <v>508</v>
      </c>
      <c r="C723" s="226"/>
      <c r="D723" s="226">
        <v>2.2999999999999998</v>
      </c>
      <c r="E723" s="226" t="s">
        <v>1047</v>
      </c>
      <c r="F723" s="234">
        <f t="shared" si="11"/>
        <v>0</v>
      </c>
    </row>
    <row r="724" spans="1:6" x14ac:dyDescent="0.25">
      <c r="A724" s="230">
        <v>30550</v>
      </c>
      <c r="B724" s="230" t="s">
        <v>509</v>
      </c>
      <c r="C724" s="226"/>
      <c r="D724" s="226">
        <v>2.02</v>
      </c>
      <c r="E724" s="226" t="s">
        <v>1047</v>
      </c>
      <c r="F724" s="234">
        <f t="shared" si="11"/>
        <v>0</v>
      </c>
    </row>
    <row r="725" spans="1:6" x14ac:dyDescent="0.25">
      <c r="A725" s="230">
        <v>30560</v>
      </c>
      <c r="B725" s="230" t="s">
        <v>963</v>
      </c>
      <c r="C725" s="226"/>
      <c r="D725" s="226">
        <v>2.35</v>
      </c>
      <c r="E725" s="226" t="s">
        <v>1047</v>
      </c>
      <c r="F725" s="234">
        <f t="shared" si="11"/>
        <v>0</v>
      </c>
    </row>
    <row r="726" spans="1:6" x14ac:dyDescent="0.25">
      <c r="A726" s="230">
        <v>30570</v>
      </c>
      <c r="B726" s="230" t="s">
        <v>964</v>
      </c>
      <c r="C726" s="226"/>
      <c r="D726" s="226">
        <v>2.2200000000000002</v>
      </c>
      <c r="E726" s="226" t="s">
        <v>1047</v>
      </c>
      <c r="F726" s="234">
        <f t="shared" si="11"/>
        <v>0</v>
      </c>
    </row>
    <row r="727" spans="1:6" x14ac:dyDescent="0.25">
      <c r="A727" s="230">
        <v>30580</v>
      </c>
      <c r="B727" s="230" t="s">
        <v>510</v>
      </c>
      <c r="C727" s="226"/>
      <c r="D727" s="226">
        <v>2.2999999999999998</v>
      </c>
      <c r="E727" s="226" t="s">
        <v>1047</v>
      </c>
      <c r="F727" s="234">
        <f t="shared" si="11"/>
        <v>0</v>
      </c>
    </row>
    <row r="728" spans="1:6" x14ac:dyDescent="0.25">
      <c r="A728" s="230">
        <v>30590</v>
      </c>
      <c r="B728" s="230" t="s">
        <v>965</v>
      </c>
      <c r="C728" s="226"/>
      <c r="D728" s="226">
        <v>2.2000000000000002</v>
      </c>
      <c r="E728" s="226" t="s">
        <v>1047</v>
      </c>
      <c r="F728" s="234">
        <f t="shared" si="11"/>
        <v>0</v>
      </c>
    </row>
    <row r="729" spans="1:6" x14ac:dyDescent="0.25">
      <c r="A729" s="230">
        <v>30600</v>
      </c>
      <c r="B729" s="230" t="s">
        <v>966</v>
      </c>
      <c r="C729" s="226"/>
      <c r="D729" s="226">
        <v>2.2999999999999998</v>
      </c>
      <c r="E729" s="226" t="s">
        <v>1047</v>
      </c>
      <c r="F729" s="234">
        <f t="shared" si="11"/>
        <v>0</v>
      </c>
    </row>
    <row r="730" spans="1:6" x14ac:dyDescent="0.25">
      <c r="A730" s="230">
        <v>30610</v>
      </c>
      <c r="B730" s="230" t="s">
        <v>511</v>
      </c>
      <c r="C730" s="226"/>
      <c r="D730" s="226"/>
      <c r="E730" s="226" t="s">
        <v>1047</v>
      </c>
      <c r="F730" s="234">
        <f t="shared" si="11"/>
        <v>0</v>
      </c>
    </row>
    <row r="731" spans="1:6" x14ac:dyDescent="0.25">
      <c r="A731" s="230">
        <v>30620</v>
      </c>
      <c r="B731" s="230" t="s">
        <v>512</v>
      </c>
      <c r="C731" s="226"/>
      <c r="D731" s="226">
        <v>2.15</v>
      </c>
      <c r="E731" s="226" t="s">
        <v>1047</v>
      </c>
      <c r="F731" s="234">
        <f t="shared" si="11"/>
        <v>0</v>
      </c>
    </row>
    <row r="732" spans="1:6" x14ac:dyDescent="0.25">
      <c r="A732" s="230">
        <v>30630</v>
      </c>
      <c r="B732" s="230" t="s">
        <v>513</v>
      </c>
      <c r="C732" s="226"/>
      <c r="D732" s="226">
        <v>2.35</v>
      </c>
      <c r="E732" s="226" t="s">
        <v>1047</v>
      </c>
      <c r="F732" s="234">
        <f t="shared" si="11"/>
        <v>0</v>
      </c>
    </row>
    <row r="733" spans="1:6" x14ac:dyDescent="0.25">
      <c r="A733" s="230">
        <v>32000</v>
      </c>
      <c r="B733" s="230" t="s">
        <v>741</v>
      </c>
      <c r="C733" s="226"/>
      <c r="D733" s="226">
        <v>6.3</v>
      </c>
      <c r="E733" s="226" t="s">
        <v>1047</v>
      </c>
      <c r="F733" s="234">
        <f t="shared" si="11"/>
        <v>0</v>
      </c>
    </row>
    <row r="734" spans="1:6" x14ac:dyDescent="0.25">
      <c r="A734" s="230">
        <v>32010</v>
      </c>
      <c r="B734" s="230" t="s">
        <v>742</v>
      </c>
      <c r="C734" s="226"/>
      <c r="D734" s="226">
        <v>6.3</v>
      </c>
      <c r="E734" s="226" t="s">
        <v>1047</v>
      </c>
      <c r="F734" s="234">
        <f t="shared" si="11"/>
        <v>0</v>
      </c>
    </row>
    <row r="735" spans="1:6" x14ac:dyDescent="0.25">
      <c r="A735" s="230">
        <v>32020</v>
      </c>
      <c r="B735" s="230" t="s">
        <v>743</v>
      </c>
      <c r="C735" s="226"/>
      <c r="D735" s="226">
        <v>6.85</v>
      </c>
      <c r="E735" s="226" t="s">
        <v>1047</v>
      </c>
      <c r="F735" s="234">
        <f t="shared" si="11"/>
        <v>0</v>
      </c>
    </row>
    <row r="736" spans="1:6" x14ac:dyDescent="0.25">
      <c r="A736" s="230">
        <v>32030</v>
      </c>
      <c r="B736" s="230" t="s">
        <v>744</v>
      </c>
      <c r="C736" s="226"/>
      <c r="D736" s="226">
        <v>15.25</v>
      </c>
      <c r="E736" s="226" t="s">
        <v>1047</v>
      </c>
      <c r="F736" s="234">
        <f t="shared" si="11"/>
        <v>0</v>
      </c>
    </row>
    <row r="737" spans="1:6" x14ac:dyDescent="0.25">
      <c r="A737" s="230">
        <v>32040</v>
      </c>
      <c r="B737" s="230" t="s">
        <v>745</v>
      </c>
      <c r="C737" s="228"/>
      <c r="D737" s="226">
        <v>15.25</v>
      </c>
      <c r="E737" s="226" t="s">
        <v>1047</v>
      </c>
      <c r="F737" s="234">
        <f t="shared" si="11"/>
        <v>0</v>
      </c>
    </row>
    <row r="738" spans="1:6" x14ac:dyDescent="0.25">
      <c r="A738" s="230">
        <v>32050</v>
      </c>
      <c r="B738" s="230" t="s">
        <v>746</v>
      </c>
      <c r="C738" s="228"/>
      <c r="D738" s="226"/>
      <c r="E738" s="226" t="s">
        <v>1047</v>
      </c>
      <c r="F738" s="234">
        <f t="shared" si="11"/>
        <v>0</v>
      </c>
    </row>
    <row r="739" spans="1:6" x14ac:dyDescent="0.25">
      <c r="A739" s="226">
        <v>35000</v>
      </c>
      <c r="B739" s="226" t="s">
        <v>1469</v>
      </c>
      <c r="C739" s="228"/>
      <c r="D739" s="226">
        <v>43.69</v>
      </c>
      <c r="E739" s="226" t="s">
        <v>1047</v>
      </c>
      <c r="F739" s="234">
        <f t="shared" si="11"/>
        <v>0</v>
      </c>
    </row>
    <row r="740" spans="1:6" x14ac:dyDescent="0.25">
      <c r="A740" s="226">
        <v>35010</v>
      </c>
      <c r="B740" s="226" t="s">
        <v>1468</v>
      </c>
      <c r="C740" s="228"/>
      <c r="D740" s="226">
        <v>37.19</v>
      </c>
      <c r="E740" s="226" t="s">
        <v>1047</v>
      </c>
      <c r="F740" s="234">
        <f t="shared" si="11"/>
        <v>0</v>
      </c>
    </row>
    <row r="741" spans="1:6" x14ac:dyDescent="0.25">
      <c r="A741" s="226">
        <v>35020</v>
      </c>
      <c r="B741" s="226" t="s">
        <v>1456</v>
      </c>
      <c r="C741" s="228"/>
      <c r="D741" s="226">
        <v>37.770000000000003</v>
      </c>
      <c r="E741" s="226" t="s">
        <v>1047</v>
      </c>
      <c r="F741" s="234">
        <f t="shared" si="11"/>
        <v>0</v>
      </c>
    </row>
    <row r="742" spans="1:6" x14ac:dyDescent="0.25">
      <c r="A742" s="226">
        <v>35030</v>
      </c>
      <c r="B742" s="226" t="s">
        <v>1467</v>
      </c>
      <c r="C742" s="228"/>
      <c r="D742" s="226">
        <v>41.33</v>
      </c>
      <c r="E742" s="226" t="s">
        <v>1047</v>
      </c>
      <c r="F742" s="234">
        <f t="shared" si="11"/>
        <v>0</v>
      </c>
    </row>
    <row r="743" spans="1:6" x14ac:dyDescent="0.25">
      <c r="A743" s="226">
        <v>35040</v>
      </c>
      <c r="B743" s="226" t="s">
        <v>1413</v>
      </c>
      <c r="C743" s="228"/>
      <c r="D743" s="226">
        <v>27.57</v>
      </c>
      <c r="E743" s="226" t="s">
        <v>1047</v>
      </c>
      <c r="F743" s="234">
        <f t="shared" si="11"/>
        <v>0</v>
      </c>
    </row>
    <row r="744" spans="1:6" x14ac:dyDescent="0.25">
      <c r="A744" s="226">
        <v>35050</v>
      </c>
      <c r="B744" s="226" t="s">
        <v>1480</v>
      </c>
      <c r="C744" s="228"/>
      <c r="D744" s="241">
        <v>57</v>
      </c>
      <c r="E744" s="226" t="s">
        <v>1047</v>
      </c>
      <c r="F744" s="234">
        <f t="shared" si="11"/>
        <v>0</v>
      </c>
    </row>
    <row r="745" spans="1:6" x14ac:dyDescent="0.25">
      <c r="A745" s="226">
        <v>35060</v>
      </c>
      <c r="B745" s="226" t="s">
        <v>1481</v>
      </c>
      <c r="C745" s="226"/>
      <c r="D745" s="241">
        <v>37.5</v>
      </c>
      <c r="E745" s="226" t="s">
        <v>1047</v>
      </c>
      <c r="F745" s="234">
        <f t="shared" si="11"/>
        <v>0</v>
      </c>
    </row>
    <row r="746" spans="1:6" x14ac:dyDescent="0.25">
      <c r="A746" s="226">
        <v>35070</v>
      </c>
      <c r="B746" s="226" t="s">
        <v>1410</v>
      </c>
      <c r="C746" s="226"/>
      <c r="D746" s="241">
        <v>160</v>
      </c>
      <c r="E746" s="226" t="s">
        <v>1047</v>
      </c>
      <c r="F746" s="234">
        <f t="shared" si="11"/>
        <v>0</v>
      </c>
    </row>
    <row r="747" spans="1:6" x14ac:dyDescent="0.25">
      <c r="A747" s="230">
        <v>39000</v>
      </c>
      <c r="B747" s="230" t="s">
        <v>747</v>
      </c>
      <c r="C747" s="226">
        <v>4</v>
      </c>
      <c r="D747" s="241">
        <v>5.95</v>
      </c>
      <c r="E747" s="226" t="s">
        <v>1047</v>
      </c>
      <c r="F747" s="234">
        <f t="shared" si="11"/>
        <v>23.8</v>
      </c>
    </row>
    <row r="748" spans="1:6" x14ac:dyDescent="0.25">
      <c r="A748" s="230">
        <v>39010</v>
      </c>
      <c r="B748" s="230" t="s">
        <v>978</v>
      </c>
      <c r="C748" s="226"/>
      <c r="D748" s="241">
        <v>5.25</v>
      </c>
      <c r="E748" s="226" t="s">
        <v>1047</v>
      </c>
      <c r="F748" s="234">
        <f t="shared" si="11"/>
        <v>0</v>
      </c>
    </row>
    <row r="749" spans="1:6" x14ac:dyDescent="0.25">
      <c r="A749" s="230">
        <v>39020</v>
      </c>
      <c r="B749" s="230" t="s">
        <v>979</v>
      </c>
      <c r="C749" s="226">
        <v>12</v>
      </c>
      <c r="D749" s="241">
        <v>2.98</v>
      </c>
      <c r="E749" s="226" t="s">
        <v>1047</v>
      </c>
      <c r="F749" s="234">
        <f t="shared" si="11"/>
        <v>35.76</v>
      </c>
    </row>
    <row r="750" spans="1:6" x14ac:dyDescent="0.25">
      <c r="A750" s="230">
        <v>39030</v>
      </c>
      <c r="B750" s="230" t="s">
        <v>439</v>
      </c>
      <c r="C750" s="226">
        <v>20</v>
      </c>
      <c r="D750" s="241">
        <v>1.37</v>
      </c>
      <c r="E750" s="226" t="s">
        <v>1047</v>
      </c>
      <c r="F750" s="234">
        <f t="shared" si="11"/>
        <v>27.400000000000002</v>
      </c>
    </row>
    <row r="751" spans="1:6" x14ac:dyDescent="0.25">
      <c r="A751" s="230">
        <v>39040</v>
      </c>
      <c r="B751" s="230" t="s">
        <v>532</v>
      </c>
      <c r="C751" s="226"/>
      <c r="D751" s="241">
        <v>9.5299999999999994</v>
      </c>
      <c r="E751" s="226" t="s">
        <v>1047</v>
      </c>
      <c r="F751" s="234">
        <f t="shared" si="11"/>
        <v>0</v>
      </c>
    </row>
    <row r="752" spans="1:6" x14ac:dyDescent="0.25">
      <c r="A752" s="230">
        <v>39050</v>
      </c>
      <c r="B752" s="230" t="s">
        <v>748</v>
      </c>
      <c r="C752" s="226">
        <v>4</v>
      </c>
      <c r="D752" s="241">
        <v>4.88</v>
      </c>
      <c r="E752" s="226" t="s">
        <v>1047</v>
      </c>
      <c r="F752" s="234">
        <f t="shared" si="11"/>
        <v>19.52</v>
      </c>
    </row>
    <row r="753" spans="1:6" x14ac:dyDescent="0.25">
      <c r="A753" s="230">
        <v>39060</v>
      </c>
      <c r="B753" s="230" t="s">
        <v>749</v>
      </c>
      <c r="C753" s="226"/>
      <c r="D753" s="241">
        <v>127.47</v>
      </c>
      <c r="E753" s="226" t="s">
        <v>1047</v>
      </c>
      <c r="F753" s="234">
        <f t="shared" si="11"/>
        <v>0</v>
      </c>
    </row>
    <row r="754" spans="1:6" x14ac:dyDescent="0.25">
      <c r="A754" s="230">
        <v>39070</v>
      </c>
      <c r="B754" s="230" t="s">
        <v>750</v>
      </c>
      <c r="C754" s="226"/>
      <c r="D754" s="241">
        <v>121.77</v>
      </c>
      <c r="E754" s="226" t="s">
        <v>1047</v>
      </c>
      <c r="F754" s="234">
        <f t="shared" si="11"/>
        <v>0</v>
      </c>
    </row>
    <row r="755" spans="1:6" x14ac:dyDescent="0.25">
      <c r="A755" s="230">
        <v>39080</v>
      </c>
      <c r="B755" s="230" t="s">
        <v>751</v>
      </c>
      <c r="C755" s="228"/>
      <c r="D755" s="241">
        <v>187.34</v>
      </c>
      <c r="E755" s="226" t="s">
        <v>1047</v>
      </c>
      <c r="F755" s="234">
        <f t="shared" si="11"/>
        <v>0</v>
      </c>
    </row>
    <row r="756" spans="1:6" x14ac:dyDescent="0.25">
      <c r="A756" s="230">
        <v>39090</v>
      </c>
      <c r="B756" s="230" t="s">
        <v>752</v>
      </c>
      <c r="C756" s="228"/>
      <c r="D756" s="241">
        <v>170</v>
      </c>
      <c r="E756" s="226" t="s">
        <v>1047</v>
      </c>
      <c r="F756" s="234">
        <f t="shared" si="11"/>
        <v>0</v>
      </c>
    </row>
    <row r="757" spans="1:6" x14ac:dyDescent="0.25">
      <c r="A757" s="230">
        <v>39100</v>
      </c>
      <c r="B757" s="237" t="s">
        <v>908</v>
      </c>
      <c r="C757" s="226"/>
      <c r="D757" s="241"/>
      <c r="E757" s="226" t="s">
        <v>1047</v>
      </c>
      <c r="F757" s="234">
        <f t="shared" si="11"/>
        <v>0</v>
      </c>
    </row>
    <row r="758" spans="1:6" x14ac:dyDescent="0.25">
      <c r="A758" s="230">
        <v>39110</v>
      </c>
      <c r="B758" s="237" t="s">
        <v>1783</v>
      </c>
      <c r="C758" s="226">
        <v>2</v>
      </c>
      <c r="D758" s="226">
        <v>17.239999999999998</v>
      </c>
      <c r="E758" s="226" t="s">
        <v>1047</v>
      </c>
      <c r="F758" s="234">
        <f t="shared" si="11"/>
        <v>34.479999999999997</v>
      </c>
    </row>
    <row r="759" spans="1:6" x14ac:dyDescent="0.25">
      <c r="A759" s="230">
        <v>39120</v>
      </c>
      <c r="B759" s="230" t="s">
        <v>538</v>
      </c>
      <c r="C759" s="226">
        <v>15</v>
      </c>
      <c r="D759" s="226">
        <v>4.55</v>
      </c>
      <c r="E759" s="226" t="s">
        <v>1047</v>
      </c>
      <c r="F759" s="234">
        <f t="shared" si="11"/>
        <v>68.25</v>
      </c>
    </row>
    <row r="760" spans="1:6" x14ac:dyDescent="0.25">
      <c r="A760" s="230">
        <v>39130</v>
      </c>
      <c r="B760" s="230" t="s">
        <v>753</v>
      </c>
      <c r="C760" s="226">
        <v>500</v>
      </c>
      <c r="D760" s="226">
        <v>0.19900000000000001</v>
      </c>
      <c r="E760" s="226" t="s">
        <v>1047</v>
      </c>
      <c r="F760" s="234">
        <f t="shared" si="11"/>
        <v>99.5</v>
      </c>
    </row>
    <row r="761" spans="1:6" x14ac:dyDescent="0.25">
      <c r="A761" s="230">
        <v>39140</v>
      </c>
      <c r="B761" s="230" t="s">
        <v>980</v>
      </c>
      <c r="C761" s="226">
        <v>12</v>
      </c>
      <c r="D761" s="226">
        <v>0.45</v>
      </c>
      <c r="E761" s="226" t="s">
        <v>1047</v>
      </c>
      <c r="F761" s="234">
        <f t="shared" si="11"/>
        <v>5.4</v>
      </c>
    </row>
    <row r="762" spans="1:6" x14ac:dyDescent="0.25">
      <c r="A762" s="230">
        <v>39150</v>
      </c>
      <c r="B762" s="230" t="s">
        <v>755</v>
      </c>
      <c r="C762" s="226">
        <v>6</v>
      </c>
      <c r="D762" s="226">
        <v>15.88</v>
      </c>
      <c r="E762" s="226" t="s">
        <v>1047</v>
      </c>
      <c r="F762" s="234">
        <f t="shared" si="11"/>
        <v>95.28</v>
      </c>
    </row>
    <row r="763" spans="1:6" x14ac:dyDescent="0.25">
      <c r="A763" s="230">
        <v>39160</v>
      </c>
      <c r="B763" s="230" t="s">
        <v>756</v>
      </c>
      <c r="C763" s="226"/>
      <c r="D763" s="226">
        <v>3.25</v>
      </c>
      <c r="E763" s="226" t="s">
        <v>1047</v>
      </c>
      <c r="F763" s="234">
        <f t="shared" si="11"/>
        <v>0</v>
      </c>
    </row>
    <row r="764" spans="1:6" x14ac:dyDescent="0.25">
      <c r="A764" s="230">
        <v>39170</v>
      </c>
      <c r="B764" s="230" t="s">
        <v>541</v>
      </c>
      <c r="C764" s="226">
        <v>24</v>
      </c>
      <c r="D764" s="226">
        <v>1.2</v>
      </c>
      <c r="E764" s="226" t="s">
        <v>1047</v>
      </c>
      <c r="F764" s="234">
        <f t="shared" si="11"/>
        <v>28.799999999999997</v>
      </c>
    </row>
    <row r="765" spans="1:6" x14ac:dyDescent="0.25">
      <c r="A765" s="230">
        <v>39180</v>
      </c>
      <c r="B765" s="230" t="s">
        <v>757</v>
      </c>
      <c r="C765" s="226">
        <v>6</v>
      </c>
      <c r="D765" s="226">
        <v>15.6</v>
      </c>
      <c r="E765" s="226" t="s">
        <v>1047</v>
      </c>
      <c r="F765" s="234">
        <f t="shared" si="11"/>
        <v>93.6</v>
      </c>
    </row>
    <row r="766" spans="1:6" x14ac:dyDescent="0.25">
      <c r="A766" s="230">
        <v>39190</v>
      </c>
      <c r="B766" s="226" t="s">
        <v>1576</v>
      </c>
      <c r="C766" s="226"/>
      <c r="D766" s="226"/>
      <c r="E766" s="226" t="s">
        <v>1047</v>
      </c>
      <c r="F766" s="234">
        <f t="shared" si="11"/>
        <v>0</v>
      </c>
    </row>
    <row r="767" spans="1:6" x14ac:dyDescent="0.25">
      <c r="A767" s="230">
        <v>39200</v>
      </c>
      <c r="B767" s="230" t="s">
        <v>558</v>
      </c>
      <c r="C767" s="226"/>
      <c r="D767" s="226">
        <v>14.04</v>
      </c>
      <c r="E767" s="226" t="s">
        <v>1047</v>
      </c>
      <c r="F767" s="234">
        <f t="shared" si="11"/>
        <v>0</v>
      </c>
    </row>
    <row r="768" spans="1:6" x14ac:dyDescent="0.25">
      <c r="A768" s="230">
        <v>39210</v>
      </c>
      <c r="B768" s="230" t="s">
        <v>1838</v>
      </c>
      <c r="C768" s="226">
        <v>16</v>
      </c>
      <c r="D768" s="226">
        <v>9.27</v>
      </c>
      <c r="E768" s="226" t="s">
        <v>1047</v>
      </c>
      <c r="F768" s="234">
        <f t="shared" si="11"/>
        <v>148.32</v>
      </c>
    </row>
    <row r="769" spans="1:6" x14ac:dyDescent="0.25">
      <c r="A769" s="230">
        <v>39220</v>
      </c>
      <c r="B769" s="230" t="s">
        <v>758</v>
      </c>
      <c r="C769" s="226"/>
      <c r="D769" s="241">
        <v>0.98</v>
      </c>
      <c r="E769" s="226" t="s">
        <v>1047</v>
      </c>
      <c r="F769" s="234">
        <f t="shared" si="11"/>
        <v>0</v>
      </c>
    </row>
    <row r="770" spans="1:6" x14ac:dyDescent="0.25">
      <c r="A770" s="230">
        <v>39230</v>
      </c>
      <c r="B770" s="230" t="s">
        <v>563</v>
      </c>
      <c r="C770" s="226">
        <v>12</v>
      </c>
      <c r="D770" s="241">
        <v>2.33</v>
      </c>
      <c r="E770" s="226" t="s">
        <v>1047</v>
      </c>
      <c r="F770" s="234">
        <f t="shared" si="11"/>
        <v>27.96</v>
      </c>
    </row>
    <row r="771" spans="1:6" x14ac:dyDescent="0.25">
      <c r="A771" s="230">
        <v>39240</v>
      </c>
      <c r="B771" s="230" t="s">
        <v>740</v>
      </c>
      <c r="C771" s="226">
        <v>4</v>
      </c>
      <c r="D771" s="241">
        <v>5.81</v>
      </c>
      <c r="E771" s="226" t="s">
        <v>1047</v>
      </c>
      <c r="F771" s="234">
        <f t="shared" si="11"/>
        <v>23.24</v>
      </c>
    </row>
    <row r="772" spans="1:6" x14ac:dyDescent="0.25">
      <c r="A772" s="230">
        <v>39250</v>
      </c>
      <c r="B772" s="230" t="s">
        <v>796</v>
      </c>
      <c r="C772" s="226"/>
      <c r="D772" s="241"/>
      <c r="E772" s="226" t="s">
        <v>1047</v>
      </c>
      <c r="F772" s="234">
        <f t="shared" si="11"/>
        <v>0</v>
      </c>
    </row>
    <row r="773" spans="1:6" x14ac:dyDescent="0.25">
      <c r="A773" s="230">
        <v>40000</v>
      </c>
      <c r="B773" s="230" t="s">
        <v>536</v>
      </c>
      <c r="C773" s="226"/>
      <c r="D773" s="241">
        <v>1.65</v>
      </c>
      <c r="E773" s="226" t="s">
        <v>1047</v>
      </c>
      <c r="F773" s="234">
        <f t="shared" si="11"/>
        <v>0</v>
      </c>
    </row>
    <row r="774" spans="1:6" x14ac:dyDescent="0.25">
      <c r="A774" s="230">
        <v>40010</v>
      </c>
      <c r="B774" s="230" t="s">
        <v>537</v>
      </c>
      <c r="C774" s="226"/>
      <c r="D774" s="241">
        <v>1.45</v>
      </c>
      <c r="E774" s="226" t="s">
        <v>1047</v>
      </c>
      <c r="F774" s="234">
        <f t="shared" si="11"/>
        <v>0</v>
      </c>
    </row>
    <row r="775" spans="1:6" x14ac:dyDescent="0.25">
      <c r="A775" s="230">
        <v>40020</v>
      </c>
      <c r="B775" s="230" t="s">
        <v>759</v>
      </c>
      <c r="C775" s="226">
        <v>1</v>
      </c>
      <c r="D775" s="241">
        <v>20.03</v>
      </c>
      <c r="E775" s="226" t="s">
        <v>1047</v>
      </c>
      <c r="F775" s="234">
        <f t="shared" si="11"/>
        <v>20.03</v>
      </c>
    </row>
    <row r="776" spans="1:6" x14ac:dyDescent="0.25">
      <c r="A776" s="230">
        <v>40030</v>
      </c>
      <c r="B776" s="230" t="s">
        <v>760</v>
      </c>
      <c r="C776" s="226">
        <v>1</v>
      </c>
      <c r="D776" s="241">
        <v>7.51</v>
      </c>
      <c r="E776" s="226" t="s">
        <v>1047</v>
      </c>
      <c r="F776" s="234">
        <f t="shared" si="11"/>
        <v>7.51</v>
      </c>
    </row>
    <row r="777" spans="1:6" x14ac:dyDescent="0.25">
      <c r="A777" s="230">
        <v>40040</v>
      </c>
      <c r="B777" s="230" t="s">
        <v>761</v>
      </c>
      <c r="C777" s="226">
        <v>1</v>
      </c>
      <c r="D777" s="241">
        <v>12.89</v>
      </c>
      <c r="E777" s="226" t="s">
        <v>1047</v>
      </c>
      <c r="F777" s="234">
        <f t="shared" si="11"/>
        <v>12.89</v>
      </c>
    </row>
    <row r="778" spans="1:6" x14ac:dyDescent="0.25">
      <c r="A778" s="230">
        <v>40050</v>
      </c>
      <c r="B778" s="230" t="s">
        <v>539</v>
      </c>
      <c r="C778" s="226"/>
      <c r="D778" s="226">
        <v>5.88</v>
      </c>
      <c r="E778" s="226" t="s">
        <v>1047</v>
      </c>
      <c r="F778" s="234">
        <f t="shared" si="11"/>
        <v>0</v>
      </c>
    </row>
    <row r="779" spans="1:6" x14ac:dyDescent="0.25">
      <c r="A779" s="230">
        <v>40060</v>
      </c>
      <c r="B779" s="230" t="s">
        <v>540</v>
      </c>
      <c r="C779" s="226"/>
      <c r="D779" s="226">
        <v>5.55</v>
      </c>
      <c r="E779" s="226" t="s">
        <v>1047</v>
      </c>
      <c r="F779" s="234">
        <f t="shared" si="11"/>
        <v>0</v>
      </c>
    </row>
    <row r="780" spans="1:6" x14ac:dyDescent="0.25">
      <c r="A780" s="230">
        <v>40070</v>
      </c>
      <c r="B780" s="230" t="s">
        <v>762</v>
      </c>
      <c r="C780" s="259"/>
      <c r="D780" s="226">
        <v>5.05</v>
      </c>
      <c r="E780" s="259" t="s">
        <v>1047</v>
      </c>
      <c r="F780" s="234">
        <f t="shared" ref="F780:F843" si="12">C780*D780</f>
        <v>0</v>
      </c>
    </row>
    <row r="781" spans="1:6" x14ac:dyDescent="0.25">
      <c r="A781" s="230">
        <v>40080</v>
      </c>
      <c r="B781" s="230" t="s">
        <v>763</v>
      </c>
      <c r="C781" s="226"/>
      <c r="D781" s="226">
        <v>7.02</v>
      </c>
      <c r="E781" s="226" t="s">
        <v>1047</v>
      </c>
      <c r="F781" s="234">
        <f t="shared" si="12"/>
        <v>0</v>
      </c>
    </row>
    <row r="782" spans="1:6" x14ac:dyDescent="0.25">
      <c r="A782" s="230">
        <v>40090</v>
      </c>
      <c r="B782" s="230" t="s">
        <v>764</v>
      </c>
      <c r="C782" s="226"/>
      <c r="D782" s="226">
        <v>3.66</v>
      </c>
      <c r="E782" s="226" t="s">
        <v>1047</v>
      </c>
      <c r="F782" s="234">
        <f t="shared" si="12"/>
        <v>0</v>
      </c>
    </row>
    <row r="783" spans="1:6" x14ac:dyDescent="0.25">
      <c r="A783" s="263">
        <v>40095</v>
      </c>
      <c r="B783" s="263" t="s">
        <v>1839</v>
      </c>
      <c r="C783" s="226">
        <v>1</v>
      </c>
      <c r="D783" s="226">
        <v>13.42</v>
      </c>
      <c r="E783" s="226" t="s">
        <v>1047</v>
      </c>
      <c r="F783" s="234">
        <f t="shared" si="12"/>
        <v>13.42</v>
      </c>
    </row>
    <row r="784" spans="1:6" x14ac:dyDescent="0.25">
      <c r="A784" s="230">
        <v>40100</v>
      </c>
      <c r="B784" s="230" t="s">
        <v>765</v>
      </c>
      <c r="C784" s="226"/>
      <c r="D784" s="241">
        <v>10.27</v>
      </c>
      <c r="E784" s="226" t="s">
        <v>1047</v>
      </c>
      <c r="F784" s="234">
        <f t="shared" si="12"/>
        <v>0</v>
      </c>
    </row>
    <row r="785" spans="1:6" x14ac:dyDescent="0.25">
      <c r="A785" s="230">
        <v>40110</v>
      </c>
      <c r="B785" s="230" t="s">
        <v>766</v>
      </c>
      <c r="C785" s="226"/>
      <c r="D785" s="241"/>
      <c r="E785" s="226" t="s">
        <v>1047</v>
      </c>
      <c r="F785" s="234">
        <f t="shared" si="12"/>
        <v>0</v>
      </c>
    </row>
    <row r="786" spans="1:6" x14ac:dyDescent="0.25">
      <c r="A786" s="230">
        <v>40120</v>
      </c>
      <c r="B786" s="230" t="s">
        <v>767</v>
      </c>
      <c r="C786" s="226"/>
      <c r="D786" s="241">
        <v>95.88</v>
      </c>
      <c r="E786" s="226" t="s">
        <v>1047</v>
      </c>
      <c r="F786" s="234">
        <f t="shared" si="12"/>
        <v>0</v>
      </c>
    </row>
    <row r="787" spans="1:6" x14ac:dyDescent="0.25">
      <c r="A787" s="230">
        <v>40130</v>
      </c>
      <c r="B787" s="230" t="s">
        <v>542</v>
      </c>
      <c r="C787" s="226"/>
      <c r="D787" s="241">
        <v>12.67</v>
      </c>
      <c r="E787" s="226" t="s">
        <v>1047</v>
      </c>
      <c r="F787" s="234">
        <f t="shared" si="12"/>
        <v>0</v>
      </c>
    </row>
    <row r="788" spans="1:6" x14ac:dyDescent="0.25">
      <c r="A788" s="230">
        <v>40140</v>
      </c>
      <c r="B788" s="230" t="s">
        <v>543</v>
      </c>
      <c r="C788" s="226"/>
      <c r="D788" s="241">
        <v>0</v>
      </c>
      <c r="E788" s="226" t="s">
        <v>1047</v>
      </c>
      <c r="F788" s="234">
        <f t="shared" si="12"/>
        <v>0</v>
      </c>
    </row>
    <row r="789" spans="1:6" x14ac:dyDescent="0.25">
      <c r="A789" s="230">
        <v>40150</v>
      </c>
      <c r="B789" s="230" t="s">
        <v>544</v>
      </c>
      <c r="C789" s="226"/>
      <c r="D789" s="241">
        <v>8.4499999999999993</v>
      </c>
      <c r="E789" s="226" t="s">
        <v>1047</v>
      </c>
      <c r="F789" s="234">
        <f t="shared" si="12"/>
        <v>0</v>
      </c>
    </row>
    <row r="790" spans="1:6" x14ac:dyDescent="0.25">
      <c r="A790" s="230">
        <v>40160</v>
      </c>
      <c r="B790" s="230" t="s">
        <v>768</v>
      </c>
      <c r="C790" s="226"/>
      <c r="D790" s="241">
        <v>10.85</v>
      </c>
      <c r="E790" s="226" t="s">
        <v>1047</v>
      </c>
      <c r="F790" s="234">
        <f t="shared" si="12"/>
        <v>0</v>
      </c>
    </row>
    <row r="791" spans="1:6" x14ac:dyDescent="0.25">
      <c r="A791" s="230">
        <v>40170</v>
      </c>
      <c r="B791" s="230" t="s">
        <v>769</v>
      </c>
      <c r="C791" s="226"/>
      <c r="D791" s="241">
        <v>5.87</v>
      </c>
      <c r="E791" s="226" t="s">
        <v>1047</v>
      </c>
      <c r="F791" s="234">
        <f t="shared" si="12"/>
        <v>0</v>
      </c>
    </row>
    <row r="792" spans="1:6" x14ac:dyDescent="0.25">
      <c r="A792" s="230">
        <v>40180</v>
      </c>
      <c r="B792" s="230" t="s">
        <v>545</v>
      </c>
      <c r="C792" s="226"/>
      <c r="D792" s="241">
        <v>11</v>
      </c>
      <c r="E792" s="226" t="s">
        <v>1047</v>
      </c>
      <c r="F792" s="234">
        <f t="shared" si="12"/>
        <v>0</v>
      </c>
    </row>
    <row r="793" spans="1:6" x14ac:dyDescent="0.25">
      <c r="A793" s="230">
        <v>40190</v>
      </c>
      <c r="B793" s="230" t="s">
        <v>793</v>
      </c>
      <c r="C793" s="226"/>
      <c r="D793" s="241">
        <v>21.55</v>
      </c>
      <c r="E793" s="226" t="s">
        <v>1047</v>
      </c>
      <c r="F793" s="234">
        <f t="shared" si="12"/>
        <v>0</v>
      </c>
    </row>
    <row r="794" spans="1:6" x14ac:dyDescent="0.25">
      <c r="A794" s="230">
        <v>40200</v>
      </c>
      <c r="B794" s="230" t="s">
        <v>546</v>
      </c>
      <c r="C794" s="226"/>
      <c r="D794" s="241">
        <v>2.23</v>
      </c>
      <c r="E794" s="226" t="s">
        <v>1047</v>
      </c>
      <c r="F794" s="234">
        <f t="shared" si="12"/>
        <v>0</v>
      </c>
    </row>
    <row r="795" spans="1:6" x14ac:dyDescent="0.25">
      <c r="A795" s="230">
        <v>40210</v>
      </c>
      <c r="B795" s="230" t="s">
        <v>547</v>
      </c>
      <c r="C795" s="226">
        <v>1</v>
      </c>
      <c r="D795" s="241">
        <v>6.34</v>
      </c>
      <c r="E795" s="226" t="s">
        <v>1047</v>
      </c>
      <c r="F795" s="234">
        <f t="shared" si="12"/>
        <v>6.34</v>
      </c>
    </row>
    <row r="796" spans="1:6" x14ac:dyDescent="0.25">
      <c r="A796" s="230">
        <v>40220</v>
      </c>
      <c r="B796" s="230" t="s">
        <v>770</v>
      </c>
      <c r="C796" s="226">
        <v>1</v>
      </c>
      <c r="D796" s="241">
        <v>5.01</v>
      </c>
      <c r="E796" s="226" t="s">
        <v>1047</v>
      </c>
      <c r="F796" s="234">
        <f t="shared" si="12"/>
        <v>5.01</v>
      </c>
    </row>
    <row r="797" spans="1:6" x14ac:dyDescent="0.25">
      <c r="A797" s="230">
        <v>40230</v>
      </c>
      <c r="B797" s="230" t="s">
        <v>548</v>
      </c>
      <c r="C797" s="226"/>
      <c r="D797" s="241"/>
      <c r="E797" s="226" t="s">
        <v>1047</v>
      </c>
      <c r="F797" s="234">
        <f t="shared" si="12"/>
        <v>0</v>
      </c>
    </row>
    <row r="798" spans="1:6" x14ac:dyDescent="0.25">
      <c r="A798" s="230">
        <v>40240</v>
      </c>
      <c r="B798" s="230" t="s">
        <v>549</v>
      </c>
      <c r="C798" s="226"/>
      <c r="D798" s="241"/>
      <c r="E798" s="226" t="s">
        <v>1047</v>
      </c>
      <c r="F798" s="234">
        <f t="shared" si="12"/>
        <v>0</v>
      </c>
    </row>
    <row r="799" spans="1:6" x14ac:dyDescent="0.25">
      <c r="A799" s="230">
        <v>40250</v>
      </c>
      <c r="B799" s="230" t="s">
        <v>550</v>
      </c>
      <c r="C799" s="226"/>
      <c r="D799" s="241"/>
      <c r="E799" s="226" t="s">
        <v>1047</v>
      </c>
      <c r="F799" s="234">
        <f t="shared" si="12"/>
        <v>0</v>
      </c>
    </row>
    <row r="800" spans="1:6" x14ac:dyDescent="0.25">
      <c r="A800" s="230">
        <v>40260</v>
      </c>
      <c r="B800" s="230" t="s">
        <v>551</v>
      </c>
      <c r="C800" s="226"/>
      <c r="D800" s="241">
        <v>18.5</v>
      </c>
      <c r="E800" s="226" t="s">
        <v>1047</v>
      </c>
      <c r="F800" s="234">
        <f t="shared" si="12"/>
        <v>0</v>
      </c>
    </row>
    <row r="801" spans="1:6" x14ac:dyDescent="0.25">
      <c r="A801" s="230">
        <v>40270</v>
      </c>
      <c r="B801" s="230" t="s">
        <v>771</v>
      </c>
      <c r="C801" s="226"/>
      <c r="D801" s="241">
        <v>8.15</v>
      </c>
      <c r="E801" s="226" t="s">
        <v>1047</v>
      </c>
      <c r="F801" s="234">
        <f t="shared" si="12"/>
        <v>0</v>
      </c>
    </row>
    <row r="802" spans="1:6" x14ac:dyDescent="0.25">
      <c r="A802" s="230">
        <v>40280</v>
      </c>
      <c r="B802" s="230" t="s">
        <v>772</v>
      </c>
      <c r="C802" s="226"/>
      <c r="D802" s="241"/>
      <c r="E802" s="226" t="s">
        <v>1047</v>
      </c>
      <c r="F802" s="234">
        <f t="shared" si="12"/>
        <v>0</v>
      </c>
    </row>
    <row r="803" spans="1:6" x14ac:dyDescent="0.25">
      <c r="A803" s="230">
        <v>40290</v>
      </c>
      <c r="B803" s="230" t="s">
        <v>773</v>
      </c>
      <c r="C803" s="226"/>
      <c r="D803" s="241"/>
      <c r="E803" s="226" t="s">
        <v>1047</v>
      </c>
      <c r="F803" s="234">
        <f t="shared" si="12"/>
        <v>0</v>
      </c>
    </row>
    <row r="804" spans="1:6" x14ac:dyDescent="0.25">
      <c r="A804" s="230">
        <v>40300</v>
      </c>
      <c r="B804" s="230" t="s">
        <v>552</v>
      </c>
      <c r="C804" s="226"/>
      <c r="D804" s="241"/>
      <c r="E804" s="226" t="s">
        <v>1047</v>
      </c>
      <c r="F804" s="234">
        <f t="shared" si="12"/>
        <v>0</v>
      </c>
    </row>
    <row r="805" spans="1:6" x14ac:dyDescent="0.25">
      <c r="A805" s="230">
        <v>40310</v>
      </c>
      <c r="B805" s="230" t="s">
        <v>553</v>
      </c>
      <c r="C805" s="226"/>
      <c r="D805" s="241"/>
      <c r="E805" s="226" t="s">
        <v>1047</v>
      </c>
      <c r="F805" s="234">
        <f t="shared" si="12"/>
        <v>0</v>
      </c>
    </row>
    <row r="806" spans="1:6" x14ac:dyDescent="0.25">
      <c r="A806" s="230">
        <v>40320</v>
      </c>
      <c r="B806" s="230" t="s">
        <v>554</v>
      </c>
      <c r="C806" s="226"/>
      <c r="D806" s="241">
        <v>21.88</v>
      </c>
      <c r="E806" s="226" t="s">
        <v>1047</v>
      </c>
      <c r="F806" s="234">
        <f t="shared" si="12"/>
        <v>0</v>
      </c>
    </row>
    <row r="807" spans="1:6" x14ac:dyDescent="0.25">
      <c r="A807" s="230">
        <v>40330</v>
      </c>
      <c r="B807" s="230" t="s">
        <v>774</v>
      </c>
      <c r="C807" s="226"/>
      <c r="D807" s="241">
        <v>96</v>
      </c>
      <c r="E807" s="226" t="s">
        <v>1047</v>
      </c>
      <c r="F807" s="234">
        <f t="shared" si="12"/>
        <v>0</v>
      </c>
    </row>
    <row r="808" spans="1:6" x14ac:dyDescent="0.25">
      <c r="A808" s="230">
        <v>40340</v>
      </c>
      <c r="B808" s="230" t="s">
        <v>555</v>
      </c>
      <c r="C808" s="226"/>
      <c r="D808" s="241">
        <v>26.2</v>
      </c>
      <c r="E808" s="226" t="s">
        <v>1047</v>
      </c>
      <c r="F808" s="234">
        <f t="shared" si="12"/>
        <v>0</v>
      </c>
    </row>
    <row r="809" spans="1:6" x14ac:dyDescent="0.25">
      <c r="A809" s="230">
        <v>40350</v>
      </c>
      <c r="B809" s="230" t="s">
        <v>556</v>
      </c>
      <c r="C809" s="226"/>
      <c r="D809" s="241">
        <v>6.29</v>
      </c>
      <c r="E809" s="226" t="s">
        <v>1047</v>
      </c>
      <c r="F809" s="234">
        <f t="shared" si="12"/>
        <v>0</v>
      </c>
    </row>
    <row r="810" spans="1:6" x14ac:dyDescent="0.25">
      <c r="A810" s="230">
        <v>40360</v>
      </c>
      <c r="B810" s="230" t="s">
        <v>775</v>
      </c>
      <c r="C810" s="226"/>
      <c r="D810" s="241">
        <v>68.64</v>
      </c>
      <c r="E810" s="226" t="s">
        <v>1047</v>
      </c>
      <c r="F810" s="234">
        <f t="shared" si="12"/>
        <v>0</v>
      </c>
    </row>
    <row r="811" spans="1:6" x14ac:dyDescent="0.25">
      <c r="A811" s="230">
        <v>40370</v>
      </c>
      <c r="B811" s="230" t="s">
        <v>557</v>
      </c>
      <c r="C811" s="226"/>
      <c r="D811" s="241">
        <v>19.190000000000001</v>
      </c>
      <c r="E811" s="226" t="s">
        <v>1047</v>
      </c>
      <c r="F811" s="234">
        <f t="shared" si="12"/>
        <v>0</v>
      </c>
    </row>
    <row r="812" spans="1:6" x14ac:dyDescent="0.25">
      <c r="A812" s="230">
        <v>40380</v>
      </c>
      <c r="B812" s="226" t="s">
        <v>1560</v>
      </c>
      <c r="C812" s="226"/>
      <c r="D812" s="241">
        <v>0</v>
      </c>
      <c r="E812" s="226" t="s">
        <v>1047</v>
      </c>
      <c r="F812" s="234">
        <f t="shared" si="12"/>
        <v>0</v>
      </c>
    </row>
    <row r="813" spans="1:6" x14ac:dyDescent="0.25">
      <c r="A813" s="230">
        <v>40390</v>
      </c>
      <c r="B813" s="230" t="s">
        <v>776</v>
      </c>
      <c r="C813" s="226"/>
      <c r="D813" s="241">
        <v>0</v>
      </c>
      <c r="E813" s="226" t="s">
        <v>1047</v>
      </c>
      <c r="F813" s="234">
        <f t="shared" si="12"/>
        <v>0</v>
      </c>
    </row>
    <row r="814" spans="1:6" x14ac:dyDescent="0.25">
      <c r="A814" s="230">
        <v>40400</v>
      </c>
      <c r="B814" s="226" t="s">
        <v>1570</v>
      </c>
      <c r="C814" s="226"/>
      <c r="D814" s="241">
        <v>0</v>
      </c>
      <c r="E814" s="226" t="s">
        <v>1047</v>
      </c>
      <c r="F814" s="234">
        <f t="shared" si="12"/>
        <v>0</v>
      </c>
    </row>
    <row r="815" spans="1:6" x14ac:dyDescent="0.25">
      <c r="A815" s="230">
        <v>40410</v>
      </c>
      <c r="B815" s="226" t="s">
        <v>1575</v>
      </c>
      <c r="C815" s="226"/>
      <c r="D815" s="241">
        <v>0</v>
      </c>
      <c r="E815" s="226" t="s">
        <v>1047</v>
      </c>
      <c r="F815" s="234">
        <f t="shared" si="12"/>
        <v>0</v>
      </c>
    </row>
    <row r="816" spans="1:6" x14ac:dyDescent="0.25">
      <c r="A816" s="230">
        <v>40420</v>
      </c>
      <c r="B816" s="230" t="s">
        <v>560</v>
      </c>
      <c r="C816" s="226"/>
      <c r="D816" s="241">
        <v>20.399999999999999</v>
      </c>
      <c r="E816" s="226" t="s">
        <v>1047</v>
      </c>
      <c r="F816" s="234">
        <f t="shared" si="12"/>
        <v>0</v>
      </c>
    </row>
    <row r="817" spans="1:6" x14ac:dyDescent="0.25">
      <c r="A817" s="230">
        <v>40430</v>
      </c>
      <c r="B817" s="230" t="s">
        <v>777</v>
      </c>
      <c r="C817" s="226"/>
      <c r="D817" s="241">
        <v>1.75</v>
      </c>
      <c r="E817" s="226" t="s">
        <v>1047</v>
      </c>
      <c r="F817" s="234">
        <f t="shared" si="12"/>
        <v>0</v>
      </c>
    </row>
    <row r="818" spans="1:6" x14ac:dyDescent="0.25">
      <c r="A818" s="230">
        <v>40440</v>
      </c>
      <c r="B818" s="230" t="s">
        <v>1840</v>
      </c>
      <c r="C818" s="226"/>
      <c r="D818" s="241">
        <v>3.12</v>
      </c>
      <c r="E818" s="226" t="s">
        <v>1047</v>
      </c>
      <c r="F818" s="234">
        <f t="shared" si="12"/>
        <v>0</v>
      </c>
    </row>
    <row r="819" spans="1:6" x14ac:dyDescent="0.25">
      <c r="A819" s="230">
        <v>40450</v>
      </c>
      <c r="B819" s="230" t="s">
        <v>779</v>
      </c>
      <c r="C819" s="226"/>
      <c r="D819" s="241">
        <v>5.86</v>
      </c>
      <c r="E819" s="226" t="s">
        <v>1047</v>
      </c>
      <c r="F819" s="234">
        <f t="shared" si="12"/>
        <v>0</v>
      </c>
    </row>
    <row r="820" spans="1:6" x14ac:dyDescent="0.25">
      <c r="A820" s="230">
        <v>40460</v>
      </c>
      <c r="B820" s="230" t="s">
        <v>1841</v>
      </c>
      <c r="C820" s="226"/>
      <c r="D820" s="241">
        <v>8.6199999999999992</v>
      </c>
      <c r="E820" s="226" t="s">
        <v>1047</v>
      </c>
      <c r="F820" s="234">
        <f t="shared" si="12"/>
        <v>0</v>
      </c>
    </row>
    <row r="821" spans="1:6" x14ac:dyDescent="0.25">
      <c r="A821" s="230">
        <v>40470</v>
      </c>
      <c r="B821" s="230" t="s">
        <v>1842</v>
      </c>
      <c r="C821" s="226"/>
      <c r="D821" s="241">
        <v>9.27</v>
      </c>
      <c r="E821" s="226" t="s">
        <v>1047</v>
      </c>
      <c r="F821" s="234">
        <f t="shared" si="12"/>
        <v>0</v>
      </c>
    </row>
    <row r="822" spans="1:6" x14ac:dyDescent="0.25">
      <c r="A822" s="230">
        <v>40480</v>
      </c>
      <c r="B822" s="230" t="s">
        <v>1843</v>
      </c>
      <c r="C822" s="226"/>
      <c r="D822" s="241">
        <v>9.59</v>
      </c>
      <c r="E822" s="226" t="s">
        <v>1047</v>
      </c>
      <c r="F822" s="234">
        <f t="shared" si="12"/>
        <v>0</v>
      </c>
    </row>
    <row r="823" spans="1:6" x14ac:dyDescent="0.25">
      <c r="A823" s="230">
        <v>40490</v>
      </c>
      <c r="B823" s="230" t="s">
        <v>783</v>
      </c>
      <c r="C823" s="226"/>
      <c r="D823" s="241">
        <v>8.24</v>
      </c>
      <c r="E823" s="226" t="s">
        <v>1047</v>
      </c>
      <c r="F823" s="234">
        <f t="shared" si="12"/>
        <v>0</v>
      </c>
    </row>
    <row r="824" spans="1:6" x14ac:dyDescent="0.25">
      <c r="A824" s="230">
        <v>40500</v>
      </c>
      <c r="B824" s="226" t="s">
        <v>1573</v>
      </c>
      <c r="C824" s="226"/>
      <c r="D824" s="241">
        <v>0</v>
      </c>
      <c r="E824" s="226" t="s">
        <v>1047</v>
      </c>
      <c r="F824" s="234">
        <f t="shared" si="12"/>
        <v>0</v>
      </c>
    </row>
    <row r="825" spans="1:6" x14ac:dyDescent="0.25">
      <c r="A825" s="230">
        <v>40510</v>
      </c>
      <c r="B825" s="230" t="s">
        <v>561</v>
      </c>
      <c r="C825" s="226"/>
      <c r="D825" s="241">
        <v>9.1</v>
      </c>
      <c r="E825" s="226" t="s">
        <v>1047</v>
      </c>
      <c r="F825" s="234">
        <f t="shared" si="12"/>
        <v>0</v>
      </c>
    </row>
    <row r="826" spans="1:6" x14ac:dyDescent="0.25">
      <c r="A826" s="230">
        <v>40520</v>
      </c>
      <c r="B826" s="230" t="s">
        <v>1844</v>
      </c>
      <c r="C826" s="226"/>
      <c r="D826" s="241">
        <v>8.6999999999999993</v>
      </c>
      <c r="E826" s="226" t="s">
        <v>1047</v>
      </c>
      <c r="F826" s="234">
        <f t="shared" si="12"/>
        <v>0</v>
      </c>
    </row>
    <row r="827" spans="1:6" x14ac:dyDescent="0.25">
      <c r="A827" s="230">
        <v>40530</v>
      </c>
      <c r="B827" s="230" t="s">
        <v>786</v>
      </c>
      <c r="C827" s="226"/>
      <c r="D827" s="241">
        <v>150.22</v>
      </c>
      <c r="E827" s="226" t="s">
        <v>1047</v>
      </c>
      <c r="F827" s="234">
        <f t="shared" si="12"/>
        <v>0</v>
      </c>
    </row>
    <row r="828" spans="1:6" x14ac:dyDescent="0.25">
      <c r="A828" s="230">
        <v>40540</v>
      </c>
      <c r="B828" s="230" t="s">
        <v>787</v>
      </c>
      <c r="C828" s="226"/>
      <c r="D828" s="241">
        <v>0</v>
      </c>
      <c r="E828" s="226" t="s">
        <v>1047</v>
      </c>
      <c r="F828" s="234">
        <f t="shared" si="12"/>
        <v>0</v>
      </c>
    </row>
    <row r="829" spans="1:6" x14ac:dyDescent="0.25">
      <c r="A829" s="230">
        <v>40550</v>
      </c>
      <c r="B829" s="230" t="s">
        <v>564</v>
      </c>
      <c r="C829" s="226"/>
      <c r="D829" s="241">
        <v>0.62</v>
      </c>
      <c r="E829" s="226" t="s">
        <v>1047</v>
      </c>
      <c r="F829" s="234">
        <f t="shared" si="12"/>
        <v>0</v>
      </c>
    </row>
    <row r="830" spans="1:6" x14ac:dyDescent="0.25">
      <c r="A830" s="230">
        <v>40560</v>
      </c>
      <c r="B830" s="236" t="s">
        <v>1770</v>
      </c>
      <c r="C830" s="226"/>
      <c r="D830" s="241">
        <v>0.06</v>
      </c>
      <c r="E830" s="226" t="s">
        <v>1047</v>
      </c>
      <c r="F830" s="234">
        <f t="shared" si="12"/>
        <v>0</v>
      </c>
    </row>
    <row r="831" spans="1:6" x14ac:dyDescent="0.25">
      <c r="A831" s="230">
        <v>40570</v>
      </c>
      <c r="B831" s="236" t="s">
        <v>671</v>
      </c>
      <c r="C831" s="226"/>
      <c r="D831" s="241"/>
      <c r="E831" s="226" t="s">
        <v>1047</v>
      </c>
      <c r="F831" s="234">
        <f t="shared" si="12"/>
        <v>0</v>
      </c>
    </row>
    <row r="832" spans="1:6" x14ac:dyDescent="0.25">
      <c r="A832" s="230">
        <v>40580</v>
      </c>
      <c r="B832" s="236" t="s">
        <v>1771</v>
      </c>
      <c r="C832" s="226"/>
      <c r="D832" s="241"/>
      <c r="E832" s="226" t="s">
        <v>1047</v>
      </c>
      <c r="F832" s="234">
        <f t="shared" si="12"/>
        <v>0</v>
      </c>
    </row>
    <row r="833" spans="1:6" x14ac:dyDescent="0.25">
      <c r="A833" s="230">
        <v>40590</v>
      </c>
      <c r="B833" s="230" t="s">
        <v>790</v>
      </c>
      <c r="C833" s="226"/>
      <c r="D833" s="241">
        <v>0.44</v>
      </c>
      <c r="E833" s="226" t="s">
        <v>1047</v>
      </c>
      <c r="F833" s="234">
        <f t="shared" si="12"/>
        <v>0</v>
      </c>
    </row>
    <row r="834" spans="1:6" x14ac:dyDescent="0.25">
      <c r="A834" s="230">
        <v>40600</v>
      </c>
      <c r="B834" s="230" t="s">
        <v>791</v>
      </c>
      <c r="C834" s="226"/>
      <c r="D834" s="241">
        <v>9.07</v>
      </c>
      <c r="E834" s="226" t="s">
        <v>1047</v>
      </c>
      <c r="F834" s="234">
        <f t="shared" si="12"/>
        <v>0</v>
      </c>
    </row>
    <row r="835" spans="1:6" x14ac:dyDescent="0.25">
      <c r="A835" s="230">
        <v>40610</v>
      </c>
      <c r="B835" s="230" t="s">
        <v>792</v>
      </c>
      <c r="C835" s="226"/>
      <c r="D835" s="241">
        <v>0</v>
      </c>
      <c r="E835" s="226" t="s">
        <v>1047</v>
      </c>
      <c r="F835" s="234">
        <f t="shared" si="12"/>
        <v>0</v>
      </c>
    </row>
    <row r="836" spans="1:6" x14ac:dyDescent="0.25">
      <c r="A836" s="230">
        <v>40620</v>
      </c>
      <c r="B836" s="226" t="s">
        <v>1740</v>
      </c>
      <c r="C836" s="226"/>
      <c r="D836" s="241">
        <v>5.76</v>
      </c>
      <c r="E836" s="226" t="s">
        <v>1047</v>
      </c>
      <c r="F836" s="234">
        <f t="shared" si="12"/>
        <v>0</v>
      </c>
    </row>
    <row r="837" spans="1:6" x14ac:dyDescent="0.25">
      <c r="A837" s="230">
        <v>50000</v>
      </c>
      <c r="B837" s="230" t="s">
        <v>785</v>
      </c>
      <c r="C837" s="226"/>
      <c r="D837" s="241">
        <v>22.82</v>
      </c>
      <c r="E837" s="226" t="s">
        <v>1047</v>
      </c>
      <c r="F837" s="234">
        <f t="shared" si="12"/>
        <v>0</v>
      </c>
    </row>
    <row r="838" spans="1:6" x14ac:dyDescent="0.25">
      <c r="A838" s="230">
        <v>50010</v>
      </c>
      <c r="B838" s="230" t="s">
        <v>571</v>
      </c>
      <c r="C838" s="226"/>
      <c r="D838" s="241">
        <v>5.77</v>
      </c>
      <c r="E838" s="226" t="s">
        <v>1047</v>
      </c>
      <c r="F838" s="234">
        <f t="shared" si="12"/>
        <v>0</v>
      </c>
    </row>
    <row r="839" spans="1:6" x14ac:dyDescent="0.25">
      <c r="A839" s="230">
        <v>50020</v>
      </c>
      <c r="B839" s="230" t="s">
        <v>806</v>
      </c>
      <c r="C839" s="226"/>
      <c r="D839" s="241">
        <v>0.12</v>
      </c>
      <c r="E839" s="226" t="s">
        <v>1047</v>
      </c>
      <c r="F839" s="234">
        <f t="shared" si="12"/>
        <v>0</v>
      </c>
    </row>
    <row r="840" spans="1:6" x14ac:dyDescent="0.25">
      <c r="A840" s="230">
        <v>50030</v>
      </c>
      <c r="B840" s="230" t="s">
        <v>984</v>
      </c>
      <c r="C840" s="226"/>
      <c r="D840" s="241">
        <v>10.65</v>
      </c>
      <c r="E840" s="226" t="s">
        <v>1047</v>
      </c>
      <c r="F840" s="234">
        <f t="shared" si="12"/>
        <v>0</v>
      </c>
    </row>
    <row r="841" spans="1:6" x14ac:dyDescent="0.25">
      <c r="A841" s="230">
        <v>50040</v>
      </c>
      <c r="B841" s="230" t="s">
        <v>985</v>
      </c>
      <c r="C841" s="226">
        <v>1</v>
      </c>
      <c r="D841" s="241">
        <v>7.96</v>
      </c>
      <c r="E841" s="226" t="s">
        <v>1047</v>
      </c>
      <c r="F841" s="234">
        <f t="shared" si="12"/>
        <v>7.96</v>
      </c>
    </row>
    <row r="842" spans="1:6" x14ac:dyDescent="0.25">
      <c r="A842" s="230">
        <v>50050</v>
      </c>
      <c r="B842" s="230" t="s">
        <v>986</v>
      </c>
      <c r="C842" s="226"/>
      <c r="D842" s="241">
        <v>10.119999999999999</v>
      </c>
      <c r="E842" s="226" t="s">
        <v>1047</v>
      </c>
      <c r="F842" s="234">
        <f t="shared" si="12"/>
        <v>0</v>
      </c>
    </row>
    <row r="843" spans="1:6" x14ac:dyDescent="0.25">
      <c r="A843" s="230">
        <v>50060</v>
      </c>
      <c r="B843" s="230" t="s">
        <v>987</v>
      </c>
      <c r="C843" s="226"/>
      <c r="D843" s="241">
        <v>20.97</v>
      </c>
      <c r="E843" s="226" t="s">
        <v>1047</v>
      </c>
      <c r="F843" s="234">
        <f t="shared" si="12"/>
        <v>0</v>
      </c>
    </row>
    <row r="844" spans="1:6" x14ac:dyDescent="0.25">
      <c r="A844" s="230">
        <v>50070</v>
      </c>
      <c r="B844" s="230" t="s">
        <v>988</v>
      </c>
      <c r="C844" s="226"/>
      <c r="D844" s="241">
        <v>28.5</v>
      </c>
      <c r="E844" s="226" t="s">
        <v>1047</v>
      </c>
      <c r="F844" s="234">
        <f t="shared" ref="F844:F907" si="13">C844*D844</f>
        <v>0</v>
      </c>
    </row>
    <row r="845" spans="1:6" x14ac:dyDescent="0.25">
      <c r="A845" s="230">
        <v>50080</v>
      </c>
      <c r="B845" s="230" t="s">
        <v>572</v>
      </c>
      <c r="C845" s="226">
        <v>4</v>
      </c>
      <c r="D845" s="241">
        <v>4.38</v>
      </c>
      <c r="E845" s="226" t="s">
        <v>1047</v>
      </c>
      <c r="F845" s="234">
        <f t="shared" si="13"/>
        <v>17.52</v>
      </c>
    </row>
    <row r="846" spans="1:6" x14ac:dyDescent="0.25">
      <c r="A846" s="230">
        <v>50090</v>
      </c>
      <c r="B846" s="230" t="s">
        <v>573</v>
      </c>
      <c r="C846" s="226"/>
      <c r="D846" s="241">
        <v>0.98</v>
      </c>
      <c r="E846" s="226" t="s">
        <v>1047</v>
      </c>
      <c r="F846" s="234">
        <f t="shared" si="13"/>
        <v>0</v>
      </c>
    </row>
    <row r="847" spans="1:6" x14ac:dyDescent="0.25">
      <c r="A847" s="230">
        <v>50100</v>
      </c>
      <c r="B847" s="230" t="s">
        <v>574</v>
      </c>
      <c r="C847" s="226">
        <v>8</v>
      </c>
      <c r="D847" s="241">
        <v>2.1800000000000002</v>
      </c>
      <c r="E847" s="226" t="s">
        <v>1047</v>
      </c>
      <c r="F847" s="234">
        <f t="shared" si="13"/>
        <v>17.440000000000001</v>
      </c>
    </row>
    <row r="848" spans="1:6" x14ac:dyDescent="0.25">
      <c r="A848" s="230">
        <v>50110</v>
      </c>
      <c r="B848" s="230" t="s">
        <v>989</v>
      </c>
      <c r="C848" s="226"/>
      <c r="D848" s="241">
        <v>6.52</v>
      </c>
      <c r="E848" s="226" t="s">
        <v>1047</v>
      </c>
      <c r="F848" s="234">
        <f t="shared" si="13"/>
        <v>0</v>
      </c>
    </row>
    <row r="849" spans="1:6" x14ac:dyDescent="0.25">
      <c r="A849" s="230">
        <v>50120</v>
      </c>
      <c r="B849" s="230" t="s">
        <v>575</v>
      </c>
      <c r="C849" s="226">
        <v>2</v>
      </c>
      <c r="D849" s="241">
        <v>2.1800000000000002</v>
      </c>
      <c r="E849" s="226" t="s">
        <v>1047</v>
      </c>
      <c r="F849" s="234">
        <f t="shared" si="13"/>
        <v>4.3600000000000003</v>
      </c>
    </row>
    <row r="850" spans="1:6" x14ac:dyDescent="0.25">
      <c r="A850" s="230">
        <v>50130</v>
      </c>
      <c r="B850" s="230" t="s">
        <v>807</v>
      </c>
      <c r="C850" s="226">
        <v>2</v>
      </c>
      <c r="D850" s="241">
        <v>2.94</v>
      </c>
      <c r="E850" s="226" t="s">
        <v>1047</v>
      </c>
      <c r="F850" s="234">
        <f t="shared" si="13"/>
        <v>5.88</v>
      </c>
    </row>
    <row r="851" spans="1:6" x14ac:dyDescent="0.25">
      <c r="A851" s="230">
        <v>50140</v>
      </c>
      <c r="B851" s="230" t="s">
        <v>808</v>
      </c>
      <c r="C851" s="226">
        <v>8</v>
      </c>
      <c r="D851" s="241">
        <v>1.78</v>
      </c>
      <c r="E851" s="226" t="s">
        <v>1047</v>
      </c>
      <c r="F851" s="234">
        <f t="shared" si="13"/>
        <v>14.24</v>
      </c>
    </row>
    <row r="852" spans="1:6" x14ac:dyDescent="0.25">
      <c r="A852" s="230">
        <v>50150</v>
      </c>
      <c r="B852" s="230" t="s">
        <v>576</v>
      </c>
      <c r="C852" s="226"/>
      <c r="D852" s="241">
        <v>1.79</v>
      </c>
      <c r="E852" s="226" t="s">
        <v>1047</v>
      </c>
      <c r="F852" s="234">
        <f t="shared" si="13"/>
        <v>0</v>
      </c>
    </row>
    <row r="853" spans="1:6" x14ac:dyDescent="0.25">
      <c r="A853" s="230">
        <v>50160</v>
      </c>
      <c r="B853" s="230" t="s">
        <v>809</v>
      </c>
      <c r="C853" s="226">
        <v>6</v>
      </c>
      <c r="D853" s="241">
        <v>1.49</v>
      </c>
      <c r="E853" s="226" t="s">
        <v>1047</v>
      </c>
      <c r="F853" s="234">
        <f t="shared" si="13"/>
        <v>8.94</v>
      </c>
    </row>
    <row r="854" spans="1:6" x14ac:dyDescent="0.25">
      <c r="A854" s="230">
        <v>50170</v>
      </c>
      <c r="B854" s="230" t="s">
        <v>577</v>
      </c>
      <c r="C854" s="226"/>
      <c r="D854" s="241">
        <v>1.77</v>
      </c>
      <c r="E854" s="226" t="s">
        <v>1047</v>
      </c>
      <c r="F854" s="234">
        <f t="shared" si="13"/>
        <v>0</v>
      </c>
    </row>
    <row r="855" spans="1:6" x14ac:dyDescent="0.25">
      <c r="A855" s="230">
        <v>50180</v>
      </c>
      <c r="B855" s="230" t="s">
        <v>990</v>
      </c>
      <c r="C855" s="226">
        <v>8</v>
      </c>
      <c r="D855" s="241">
        <v>2.57</v>
      </c>
      <c r="E855" s="226" t="s">
        <v>1047</v>
      </c>
      <c r="F855" s="234">
        <f t="shared" si="13"/>
        <v>20.56</v>
      </c>
    </row>
    <row r="856" spans="1:6" x14ac:dyDescent="0.25">
      <c r="A856" s="230">
        <v>50190</v>
      </c>
      <c r="B856" s="230" t="s">
        <v>810</v>
      </c>
      <c r="C856" s="226"/>
      <c r="D856" s="241">
        <v>2.79</v>
      </c>
      <c r="E856" s="226" t="s">
        <v>1047</v>
      </c>
      <c r="F856" s="234">
        <f t="shared" si="13"/>
        <v>0</v>
      </c>
    </row>
    <row r="857" spans="1:6" x14ac:dyDescent="0.25">
      <c r="A857" s="230">
        <v>50200</v>
      </c>
      <c r="B857" s="230" t="s">
        <v>811</v>
      </c>
      <c r="C857" s="226"/>
      <c r="D857" s="241">
        <v>4.99</v>
      </c>
      <c r="E857" s="226" t="s">
        <v>1047</v>
      </c>
      <c r="F857" s="234">
        <f t="shared" si="13"/>
        <v>0</v>
      </c>
    </row>
    <row r="858" spans="1:6" x14ac:dyDescent="0.25">
      <c r="A858" s="230">
        <v>50210</v>
      </c>
      <c r="B858" s="230" t="s">
        <v>578</v>
      </c>
      <c r="C858" s="226"/>
      <c r="D858" s="241">
        <v>7.13</v>
      </c>
      <c r="E858" s="226" t="s">
        <v>1047</v>
      </c>
      <c r="F858" s="234">
        <f t="shared" si="13"/>
        <v>0</v>
      </c>
    </row>
    <row r="859" spans="1:6" x14ac:dyDescent="0.25">
      <c r="A859" s="230">
        <v>50220</v>
      </c>
      <c r="B859" s="230" t="s">
        <v>991</v>
      </c>
      <c r="C859" s="226"/>
      <c r="D859" s="241">
        <v>1.97</v>
      </c>
      <c r="E859" s="226" t="s">
        <v>1047</v>
      </c>
      <c r="F859" s="234">
        <f t="shared" si="13"/>
        <v>0</v>
      </c>
    </row>
    <row r="860" spans="1:6" x14ac:dyDescent="0.25">
      <c r="A860" s="230">
        <v>50230</v>
      </c>
      <c r="B860" s="230" t="s">
        <v>579</v>
      </c>
      <c r="C860" s="226">
        <v>5</v>
      </c>
      <c r="D860" s="241">
        <v>2.85</v>
      </c>
      <c r="E860" s="226" t="s">
        <v>1047</v>
      </c>
      <c r="F860" s="234">
        <f t="shared" si="13"/>
        <v>14.25</v>
      </c>
    </row>
    <row r="861" spans="1:6" x14ac:dyDescent="0.25">
      <c r="A861" s="230">
        <v>50240</v>
      </c>
      <c r="B861" s="230" t="s">
        <v>580</v>
      </c>
      <c r="C861" s="226">
        <v>5</v>
      </c>
      <c r="D861" s="241">
        <v>3.44</v>
      </c>
      <c r="E861" s="226" t="s">
        <v>1047</v>
      </c>
      <c r="F861" s="234">
        <f t="shared" si="13"/>
        <v>17.2</v>
      </c>
    </row>
    <row r="862" spans="1:6" x14ac:dyDescent="0.25">
      <c r="A862" s="230">
        <v>50250</v>
      </c>
      <c r="B862" s="230" t="s">
        <v>812</v>
      </c>
      <c r="C862" s="226"/>
      <c r="D862" s="241">
        <v>9.6199999999999992</v>
      </c>
      <c r="E862" s="226" t="s">
        <v>1047</v>
      </c>
      <c r="F862" s="234">
        <f t="shared" si="13"/>
        <v>0</v>
      </c>
    </row>
    <row r="863" spans="1:6" x14ac:dyDescent="0.25">
      <c r="A863" s="230">
        <v>50260</v>
      </c>
      <c r="B863" s="230" t="s">
        <v>581</v>
      </c>
      <c r="C863" s="226">
        <v>5</v>
      </c>
      <c r="D863" s="241">
        <v>16</v>
      </c>
      <c r="E863" s="226" t="s">
        <v>1047</v>
      </c>
      <c r="F863" s="234">
        <f t="shared" si="13"/>
        <v>80</v>
      </c>
    </row>
    <row r="864" spans="1:6" x14ac:dyDescent="0.25">
      <c r="A864" s="230">
        <v>50270</v>
      </c>
      <c r="B864" s="230" t="s">
        <v>813</v>
      </c>
      <c r="C864" s="226">
        <v>1</v>
      </c>
      <c r="D864" s="241">
        <v>45.04</v>
      </c>
      <c r="E864" s="226" t="s">
        <v>1047</v>
      </c>
      <c r="F864" s="234">
        <f t="shared" si="13"/>
        <v>45.04</v>
      </c>
    </row>
    <row r="865" spans="1:6" x14ac:dyDescent="0.25">
      <c r="A865" s="230">
        <v>50280</v>
      </c>
      <c r="B865" s="230" t="s">
        <v>992</v>
      </c>
      <c r="C865" s="226">
        <v>2</v>
      </c>
      <c r="D865" s="241">
        <v>121.86</v>
      </c>
      <c r="E865" s="226" t="s">
        <v>1047</v>
      </c>
      <c r="F865" s="234">
        <f t="shared" si="13"/>
        <v>243.72</v>
      </c>
    </row>
    <row r="866" spans="1:6" x14ac:dyDescent="0.25">
      <c r="A866" s="230">
        <v>50290</v>
      </c>
      <c r="B866" s="230" t="s">
        <v>814</v>
      </c>
      <c r="C866" s="226"/>
      <c r="D866" s="241">
        <v>243.73</v>
      </c>
      <c r="E866" s="226" t="s">
        <v>1047</v>
      </c>
      <c r="F866" s="234">
        <f t="shared" si="13"/>
        <v>0</v>
      </c>
    </row>
    <row r="867" spans="1:6" x14ac:dyDescent="0.25">
      <c r="A867" s="230">
        <v>50300</v>
      </c>
      <c r="B867" s="230" t="s">
        <v>993</v>
      </c>
      <c r="C867" s="226"/>
      <c r="D867" s="241">
        <v>608.92999999999995</v>
      </c>
      <c r="E867" s="226" t="s">
        <v>1047</v>
      </c>
      <c r="F867" s="234">
        <f t="shared" si="13"/>
        <v>0</v>
      </c>
    </row>
    <row r="868" spans="1:6" x14ac:dyDescent="0.25">
      <c r="A868" s="230">
        <v>50310</v>
      </c>
      <c r="B868" s="230" t="s">
        <v>815</v>
      </c>
      <c r="C868" s="226">
        <v>1</v>
      </c>
      <c r="D868" s="241">
        <v>159.04</v>
      </c>
      <c r="E868" s="226" t="s">
        <v>1047</v>
      </c>
      <c r="F868" s="234">
        <f t="shared" si="13"/>
        <v>159.04</v>
      </c>
    </row>
    <row r="869" spans="1:6" x14ac:dyDescent="0.25">
      <c r="A869" s="230">
        <v>50320</v>
      </c>
      <c r="B869" s="230" t="s">
        <v>994</v>
      </c>
      <c r="C869" s="226"/>
      <c r="D869" s="241">
        <v>318.11</v>
      </c>
      <c r="E869" s="226" t="s">
        <v>1047</v>
      </c>
      <c r="F869" s="234">
        <f t="shared" si="13"/>
        <v>0</v>
      </c>
    </row>
    <row r="870" spans="1:6" x14ac:dyDescent="0.25">
      <c r="A870" s="230">
        <v>50330</v>
      </c>
      <c r="B870" s="230" t="s">
        <v>995</v>
      </c>
      <c r="C870" s="226"/>
      <c r="D870" s="241">
        <v>794.76</v>
      </c>
      <c r="E870" s="226" t="s">
        <v>1047</v>
      </c>
      <c r="F870" s="234">
        <f t="shared" si="13"/>
        <v>0</v>
      </c>
    </row>
    <row r="871" spans="1:6" x14ac:dyDescent="0.25">
      <c r="A871" s="230">
        <v>50340</v>
      </c>
      <c r="B871" s="230" t="s">
        <v>1013</v>
      </c>
      <c r="C871" s="226"/>
      <c r="D871" s="241">
        <v>437.67</v>
      </c>
      <c r="E871" s="226" t="s">
        <v>1047</v>
      </c>
      <c r="F871" s="234">
        <f t="shared" si="13"/>
        <v>0</v>
      </c>
    </row>
    <row r="872" spans="1:6" x14ac:dyDescent="0.25">
      <c r="A872" s="230">
        <v>50350</v>
      </c>
      <c r="B872" s="230" t="s">
        <v>1014</v>
      </c>
      <c r="C872" s="226">
        <v>6</v>
      </c>
      <c r="D872" s="241">
        <v>875.35</v>
      </c>
      <c r="E872" s="226" t="s">
        <v>1047</v>
      </c>
      <c r="F872" s="234">
        <f t="shared" si="13"/>
        <v>5252.1</v>
      </c>
    </row>
    <row r="873" spans="1:6" x14ac:dyDescent="0.25">
      <c r="A873" s="230">
        <v>50360</v>
      </c>
      <c r="B873" s="230" t="s">
        <v>582</v>
      </c>
      <c r="C873" s="226"/>
      <c r="D873" s="241">
        <v>10.08</v>
      </c>
      <c r="E873" s="226" t="s">
        <v>1047</v>
      </c>
      <c r="F873" s="234">
        <f t="shared" si="13"/>
        <v>0</v>
      </c>
    </row>
    <row r="874" spans="1:6" x14ac:dyDescent="0.25">
      <c r="A874" s="230">
        <v>50370</v>
      </c>
      <c r="B874" s="230" t="s">
        <v>583</v>
      </c>
      <c r="C874" s="226"/>
      <c r="D874" s="241">
        <v>13.74</v>
      </c>
      <c r="E874" s="226" t="s">
        <v>1047</v>
      </c>
      <c r="F874" s="234">
        <f t="shared" si="13"/>
        <v>0</v>
      </c>
    </row>
    <row r="875" spans="1:6" x14ac:dyDescent="0.25">
      <c r="A875" s="230">
        <v>50380</v>
      </c>
      <c r="B875" s="230" t="s">
        <v>996</v>
      </c>
      <c r="C875" s="226"/>
      <c r="D875" s="241">
        <v>0</v>
      </c>
      <c r="E875" s="226" t="s">
        <v>1047</v>
      </c>
      <c r="F875" s="234">
        <f t="shared" si="13"/>
        <v>0</v>
      </c>
    </row>
    <row r="876" spans="1:6" x14ac:dyDescent="0.25">
      <c r="A876" s="230">
        <v>50390</v>
      </c>
      <c r="B876" s="230" t="s">
        <v>997</v>
      </c>
      <c r="C876" s="226"/>
      <c r="D876" s="241">
        <v>0</v>
      </c>
      <c r="E876" s="226" t="s">
        <v>1047</v>
      </c>
      <c r="F876" s="234">
        <f t="shared" si="13"/>
        <v>0</v>
      </c>
    </row>
    <row r="877" spans="1:6" x14ac:dyDescent="0.25">
      <c r="A877" s="230">
        <v>50400</v>
      </c>
      <c r="B877" s="230" t="s">
        <v>584</v>
      </c>
      <c r="C877" s="226"/>
      <c r="D877" s="241">
        <v>7.46</v>
      </c>
      <c r="E877" s="226" t="s">
        <v>1047</v>
      </c>
      <c r="F877" s="234">
        <f t="shared" si="13"/>
        <v>0</v>
      </c>
    </row>
    <row r="878" spans="1:6" x14ac:dyDescent="0.25">
      <c r="A878" s="230">
        <v>50410</v>
      </c>
      <c r="B878" s="230" t="s">
        <v>585</v>
      </c>
      <c r="C878" s="226"/>
      <c r="D878" s="241">
        <v>12.43</v>
      </c>
      <c r="E878" s="226" t="s">
        <v>1047</v>
      </c>
      <c r="F878" s="234">
        <f t="shared" si="13"/>
        <v>0</v>
      </c>
    </row>
    <row r="879" spans="1:6" x14ac:dyDescent="0.25">
      <c r="A879" s="230">
        <v>50420</v>
      </c>
      <c r="B879" s="230" t="s">
        <v>998</v>
      </c>
      <c r="C879" s="226">
        <v>1</v>
      </c>
      <c r="D879" s="241">
        <v>7.46</v>
      </c>
      <c r="E879" s="226" t="s">
        <v>1047</v>
      </c>
      <c r="F879" s="234">
        <f t="shared" si="13"/>
        <v>7.46</v>
      </c>
    </row>
    <row r="880" spans="1:6" x14ac:dyDescent="0.25">
      <c r="A880" s="230">
        <v>50430</v>
      </c>
      <c r="B880" s="230" t="s">
        <v>999</v>
      </c>
      <c r="C880" s="226">
        <v>1</v>
      </c>
      <c r="D880" s="241">
        <v>2.2200000000000002</v>
      </c>
      <c r="E880" s="226" t="s">
        <v>1047</v>
      </c>
      <c r="F880" s="234">
        <f t="shared" si="13"/>
        <v>2.2200000000000002</v>
      </c>
    </row>
    <row r="881" spans="1:6" x14ac:dyDescent="0.25">
      <c r="A881" s="230">
        <v>50440</v>
      </c>
      <c r="B881" s="230" t="s">
        <v>1000</v>
      </c>
      <c r="C881" s="226"/>
      <c r="D881" s="241">
        <v>11.18</v>
      </c>
      <c r="E881" s="226" t="s">
        <v>1047</v>
      </c>
      <c r="F881" s="234">
        <f t="shared" si="13"/>
        <v>0</v>
      </c>
    </row>
    <row r="882" spans="1:6" x14ac:dyDescent="0.25">
      <c r="A882" s="230">
        <v>50450</v>
      </c>
      <c r="B882" s="230" t="s">
        <v>586</v>
      </c>
      <c r="C882" s="226"/>
      <c r="D882" s="241">
        <v>11.43</v>
      </c>
      <c r="E882" s="226" t="s">
        <v>1047</v>
      </c>
      <c r="F882" s="234">
        <f t="shared" si="13"/>
        <v>0</v>
      </c>
    </row>
    <row r="883" spans="1:6" x14ac:dyDescent="0.25">
      <c r="A883" s="230">
        <v>50460</v>
      </c>
      <c r="B883" s="230" t="s">
        <v>1015</v>
      </c>
      <c r="C883" s="226"/>
      <c r="D883" s="241">
        <v>15.23</v>
      </c>
      <c r="E883" s="226" t="s">
        <v>1047</v>
      </c>
      <c r="F883" s="234">
        <f t="shared" si="13"/>
        <v>0</v>
      </c>
    </row>
    <row r="884" spans="1:6" x14ac:dyDescent="0.25">
      <c r="A884" s="230">
        <v>50470</v>
      </c>
      <c r="B884" s="230" t="s">
        <v>816</v>
      </c>
      <c r="C884" s="226"/>
      <c r="D884" s="241">
        <v>31.72</v>
      </c>
      <c r="E884" s="226" t="s">
        <v>1047</v>
      </c>
      <c r="F884" s="234">
        <f t="shared" si="13"/>
        <v>0</v>
      </c>
    </row>
    <row r="885" spans="1:6" x14ac:dyDescent="0.25">
      <c r="A885" s="230">
        <v>50480</v>
      </c>
      <c r="B885" s="230" t="s">
        <v>587</v>
      </c>
      <c r="C885" s="226">
        <v>2</v>
      </c>
      <c r="D885" s="241">
        <v>1.06</v>
      </c>
      <c r="E885" s="226" t="s">
        <v>1047</v>
      </c>
      <c r="F885" s="234">
        <f t="shared" si="13"/>
        <v>2.12</v>
      </c>
    </row>
    <row r="886" spans="1:6" x14ac:dyDescent="0.25">
      <c r="A886" s="230">
        <v>50490</v>
      </c>
      <c r="B886" s="230" t="s">
        <v>588</v>
      </c>
      <c r="C886" s="226">
        <v>2</v>
      </c>
      <c r="D886" s="241">
        <v>2.09</v>
      </c>
      <c r="E886" s="226" t="s">
        <v>1047</v>
      </c>
      <c r="F886" s="234">
        <f t="shared" si="13"/>
        <v>4.18</v>
      </c>
    </row>
    <row r="887" spans="1:6" x14ac:dyDescent="0.25">
      <c r="A887" s="230">
        <v>50500</v>
      </c>
      <c r="B887" s="230" t="s">
        <v>817</v>
      </c>
      <c r="C887" s="226">
        <v>2</v>
      </c>
      <c r="D887" s="241">
        <v>4.3499999999999996</v>
      </c>
      <c r="E887" s="226" t="s">
        <v>1047</v>
      </c>
      <c r="F887" s="234">
        <f t="shared" si="13"/>
        <v>8.6999999999999993</v>
      </c>
    </row>
    <row r="888" spans="1:6" x14ac:dyDescent="0.25">
      <c r="A888" s="230">
        <v>50510</v>
      </c>
      <c r="B888" s="230" t="s">
        <v>818</v>
      </c>
      <c r="C888" s="226"/>
      <c r="D888" s="241">
        <v>2.09</v>
      </c>
      <c r="E888" s="226" t="s">
        <v>1047</v>
      </c>
      <c r="F888" s="234">
        <f t="shared" si="13"/>
        <v>0</v>
      </c>
    </row>
    <row r="889" spans="1:6" x14ac:dyDescent="0.25">
      <c r="A889" s="230">
        <v>50520</v>
      </c>
      <c r="B889" s="230" t="s">
        <v>819</v>
      </c>
      <c r="C889" s="226"/>
      <c r="D889" s="241">
        <v>2.73</v>
      </c>
      <c r="E889" s="226" t="s">
        <v>1047</v>
      </c>
      <c r="F889" s="234">
        <f t="shared" si="13"/>
        <v>0</v>
      </c>
    </row>
    <row r="890" spans="1:6" x14ac:dyDescent="0.25">
      <c r="A890" s="230">
        <v>50530</v>
      </c>
      <c r="B890" s="230" t="s">
        <v>820</v>
      </c>
      <c r="C890" s="226"/>
      <c r="D890" s="241">
        <v>9.77</v>
      </c>
      <c r="E890" s="226" t="s">
        <v>1047</v>
      </c>
      <c r="F890" s="234">
        <f t="shared" si="13"/>
        <v>0</v>
      </c>
    </row>
    <row r="891" spans="1:6" x14ac:dyDescent="0.25">
      <c r="A891" s="230">
        <v>50540</v>
      </c>
      <c r="B891" s="230" t="s">
        <v>821</v>
      </c>
      <c r="C891" s="226">
        <v>1</v>
      </c>
      <c r="D891" s="241">
        <v>10.76</v>
      </c>
      <c r="E891" s="226" t="s">
        <v>1047</v>
      </c>
      <c r="F891" s="234">
        <f t="shared" si="13"/>
        <v>10.76</v>
      </c>
    </row>
    <row r="892" spans="1:6" x14ac:dyDescent="0.25">
      <c r="A892" s="230">
        <v>50550</v>
      </c>
      <c r="B892" s="230" t="s">
        <v>838</v>
      </c>
      <c r="C892" s="226">
        <v>1</v>
      </c>
      <c r="D892" s="241">
        <v>48.43</v>
      </c>
      <c r="E892" s="226" t="s">
        <v>1047</v>
      </c>
      <c r="F892" s="234">
        <f t="shared" si="13"/>
        <v>48.43</v>
      </c>
    </row>
    <row r="893" spans="1:6" x14ac:dyDescent="0.25">
      <c r="A893" s="230">
        <v>50560</v>
      </c>
      <c r="B893" s="230" t="s">
        <v>1002</v>
      </c>
      <c r="C893" s="226">
        <v>2</v>
      </c>
      <c r="D893" s="241">
        <v>11.12</v>
      </c>
      <c r="E893" s="226" t="s">
        <v>1047</v>
      </c>
      <c r="F893" s="234">
        <f t="shared" si="13"/>
        <v>22.24</v>
      </c>
    </row>
    <row r="894" spans="1:6" x14ac:dyDescent="0.25">
      <c r="A894" s="230">
        <v>50570</v>
      </c>
      <c r="B894" s="230" t="s">
        <v>1001</v>
      </c>
      <c r="C894" s="226"/>
      <c r="D894" s="241">
        <v>11.12</v>
      </c>
      <c r="E894" s="226" t="s">
        <v>1047</v>
      </c>
      <c r="F894" s="234">
        <f t="shared" si="13"/>
        <v>0</v>
      </c>
    </row>
    <row r="895" spans="1:6" x14ac:dyDescent="0.25">
      <c r="A895" s="230">
        <v>50580</v>
      </c>
      <c r="B895" s="230" t="s">
        <v>1003</v>
      </c>
      <c r="C895" s="226"/>
      <c r="D895" s="241">
        <v>9.36</v>
      </c>
      <c r="E895" s="226" t="s">
        <v>1047</v>
      </c>
      <c r="F895" s="234">
        <f t="shared" si="13"/>
        <v>0</v>
      </c>
    </row>
    <row r="896" spans="1:6" x14ac:dyDescent="0.25">
      <c r="A896" s="230">
        <v>50590</v>
      </c>
      <c r="B896" s="230" t="s">
        <v>822</v>
      </c>
      <c r="C896" s="226"/>
      <c r="D896" s="241">
        <v>4.83</v>
      </c>
      <c r="E896" s="226" t="s">
        <v>1047</v>
      </c>
      <c r="F896" s="234">
        <f t="shared" si="13"/>
        <v>0</v>
      </c>
    </row>
    <row r="897" spans="1:6" x14ac:dyDescent="0.25">
      <c r="A897" s="230">
        <v>50600</v>
      </c>
      <c r="B897" s="230" t="s">
        <v>823</v>
      </c>
      <c r="C897" s="226"/>
      <c r="D897" s="241">
        <v>1.55</v>
      </c>
      <c r="E897" s="226" t="s">
        <v>1047</v>
      </c>
      <c r="F897" s="234">
        <f t="shared" si="13"/>
        <v>0</v>
      </c>
    </row>
    <row r="898" spans="1:6" x14ac:dyDescent="0.25">
      <c r="A898" s="230">
        <v>50610</v>
      </c>
      <c r="B898" s="230" t="s">
        <v>824</v>
      </c>
      <c r="C898" s="226"/>
      <c r="D898" s="241">
        <v>2.64</v>
      </c>
      <c r="E898" s="226" t="s">
        <v>1047</v>
      </c>
      <c r="F898" s="234">
        <f t="shared" si="13"/>
        <v>0</v>
      </c>
    </row>
    <row r="899" spans="1:6" x14ac:dyDescent="0.25">
      <c r="A899" s="230">
        <v>50620</v>
      </c>
      <c r="B899" s="230" t="s">
        <v>825</v>
      </c>
      <c r="C899" s="226"/>
      <c r="D899" s="241">
        <v>6.82</v>
      </c>
      <c r="E899" s="226" t="s">
        <v>1047</v>
      </c>
      <c r="F899" s="234">
        <f t="shared" si="13"/>
        <v>0</v>
      </c>
    </row>
    <row r="900" spans="1:6" x14ac:dyDescent="0.25">
      <c r="A900" s="230">
        <v>50630</v>
      </c>
      <c r="B900" s="230" t="s">
        <v>1004</v>
      </c>
      <c r="C900" s="226"/>
      <c r="D900" s="241">
        <v>2.94</v>
      </c>
      <c r="E900" s="226" t="s">
        <v>1047</v>
      </c>
      <c r="F900" s="234">
        <f t="shared" si="13"/>
        <v>0</v>
      </c>
    </row>
    <row r="901" spans="1:6" x14ac:dyDescent="0.25">
      <c r="A901" s="230">
        <v>50640</v>
      </c>
      <c r="B901" s="230" t="s">
        <v>826</v>
      </c>
      <c r="C901" s="226"/>
      <c r="D901" s="241">
        <v>3.48</v>
      </c>
      <c r="E901" s="226" t="s">
        <v>1047</v>
      </c>
      <c r="F901" s="234">
        <f t="shared" si="13"/>
        <v>0</v>
      </c>
    </row>
    <row r="902" spans="1:6" x14ac:dyDescent="0.25">
      <c r="A902" s="230">
        <v>50650</v>
      </c>
      <c r="B902" s="230" t="s">
        <v>827</v>
      </c>
      <c r="C902" s="226"/>
      <c r="D902" s="241">
        <v>0.56000000000000005</v>
      </c>
      <c r="E902" s="226" t="s">
        <v>1047</v>
      </c>
      <c r="F902" s="234">
        <f t="shared" si="13"/>
        <v>0</v>
      </c>
    </row>
    <row r="903" spans="1:6" x14ac:dyDescent="0.25">
      <c r="A903" s="230">
        <v>50660</v>
      </c>
      <c r="B903" s="230" t="s">
        <v>1005</v>
      </c>
      <c r="C903" s="226"/>
      <c r="D903" s="241">
        <v>5.94</v>
      </c>
      <c r="E903" s="226" t="s">
        <v>1047</v>
      </c>
      <c r="F903" s="234">
        <f t="shared" si="13"/>
        <v>0</v>
      </c>
    </row>
    <row r="904" spans="1:6" x14ac:dyDescent="0.25">
      <c r="A904" s="230">
        <v>50670</v>
      </c>
      <c r="B904" s="230" t="s">
        <v>828</v>
      </c>
      <c r="C904" s="226"/>
      <c r="D904" s="241">
        <v>1.84</v>
      </c>
      <c r="E904" s="226" t="s">
        <v>1047</v>
      </c>
      <c r="F904" s="234">
        <f t="shared" si="13"/>
        <v>0</v>
      </c>
    </row>
    <row r="905" spans="1:6" x14ac:dyDescent="0.25">
      <c r="A905" s="230">
        <v>50680</v>
      </c>
      <c r="B905" s="230" t="s">
        <v>829</v>
      </c>
      <c r="C905" s="226"/>
      <c r="D905" s="241">
        <v>2.1</v>
      </c>
      <c r="E905" s="226" t="s">
        <v>1047</v>
      </c>
      <c r="F905" s="234">
        <f t="shared" si="13"/>
        <v>0</v>
      </c>
    </row>
    <row r="906" spans="1:6" x14ac:dyDescent="0.25">
      <c r="A906" s="230">
        <v>50690</v>
      </c>
      <c r="B906" s="230" t="s">
        <v>1006</v>
      </c>
      <c r="C906" s="226"/>
      <c r="D906" s="241">
        <v>2.58</v>
      </c>
      <c r="E906" s="226" t="s">
        <v>1047</v>
      </c>
      <c r="F906" s="234">
        <f t="shared" si="13"/>
        <v>0</v>
      </c>
    </row>
    <row r="907" spans="1:6" x14ac:dyDescent="0.25">
      <c r="A907" s="230">
        <v>50700</v>
      </c>
      <c r="B907" s="230" t="s">
        <v>1007</v>
      </c>
      <c r="C907" s="226"/>
      <c r="D907" s="241">
        <v>1.8</v>
      </c>
      <c r="E907" s="226" t="s">
        <v>1047</v>
      </c>
      <c r="F907" s="234">
        <f t="shared" si="13"/>
        <v>0</v>
      </c>
    </row>
    <row r="908" spans="1:6" x14ac:dyDescent="0.25">
      <c r="A908" s="263">
        <v>50705</v>
      </c>
      <c r="B908" s="263" t="s">
        <v>1784</v>
      </c>
      <c r="C908" s="226"/>
      <c r="D908" s="241"/>
      <c r="E908" s="226" t="s">
        <v>1047</v>
      </c>
      <c r="F908" s="234">
        <f t="shared" ref="F908:F971" si="14">C908*D908</f>
        <v>0</v>
      </c>
    </row>
    <row r="909" spans="1:6" x14ac:dyDescent="0.25">
      <c r="A909" s="263">
        <v>50710</v>
      </c>
      <c r="B909" s="263" t="s">
        <v>1008</v>
      </c>
      <c r="C909" s="259"/>
      <c r="D909" s="241">
        <v>11.91</v>
      </c>
      <c r="E909" s="259" t="s">
        <v>1047</v>
      </c>
      <c r="F909" s="234">
        <f t="shared" si="14"/>
        <v>0</v>
      </c>
    </row>
    <row r="910" spans="1:6" x14ac:dyDescent="0.25">
      <c r="A910" s="263">
        <v>50715</v>
      </c>
      <c r="B910" s="263" t="s">
        <v>1785</v>
      </c>
      <c r="C910" s="226"/>
      <c r="D910" s="241"/>
      <c r="E910" s="226" t="s">
        <v>1047</v>
      </c>
      <c r="F910" s="234">
        <f t="shared" si="14"/>
        <v>0</v>
      </c>
    </row>
    <row r="911" spans="1:6" x14ac:dyDescent="0.25">
      <c r="A911" s="263">
        <v>50720</v>
      </c>
      <c r="B911" s="263" t="s">
        <v>830</v>
      </c>
      <c r="C911" s="226"/>
      <c r="D911" s="241">
        <v>0.88</v>
      </c>
      <c r="E911" s="226" t="s">
        <v>1047</v>
      </c>
      <c r="F911" s="234">
        <f t="shared" si="14"/>
        <v>0</v>
      </c>
    </row>
    <row r="912" spans="1:6" x14ac:dyDescent="0.25">
      <c r="A912" s="230">
        <v>50730</v>
      </c>
      <c r="B912" s="230" t="s">
        <v>831</v>
      </c>
      <c r="C912" s="226"/>
      <c r="D912" s="241">
        <v>4.01</v>
      </c>
      <c r="E912" s="226" t="s">
        <v>1047</v>
      </c>
      <c r="F912" s="234">
        <f t="shared" si="14"/>
        <v>0</v>
      </c>
    </row>
    <row r="913" spans="1:6" x14ac:dyDescent="0.25">
      <c r="A913" s="230">
        <v>50740</v>
      </c>
      <c r="B913" s="230" t="s">
        <v>832</v>
      </c>
      <c r="C913" s="226"/>
      <c r="D913" s="241">
        <v>8.5399999999999991</v>
      </c>
      <c r="E913" s="226" t="s">
        <v>1047</v>
      </c>
      <c r="F913" s="234">
        <f t="shared" si="14"/>
        <v>0</v>
      </c>
    </row>
    <row r="914" spans="1:6" x14ac:dyDescent="0.25">
      <c r="A914" s="230">
        <v>50750</v>
      </c>
      <c r="B914" s="230" t="s">
        <v>833</v>
      </c>
      <c r="C914" s="226"/>
      <c r="D914" s="241">
        <v>0</v>
      </c>
      <c r="E914" s="226" t="s">
        <v>1047</v>
      </c>
      <c r="F914" s="234">
        <f t="shared" si="14"/>
        <v>0</v>
      </c>
    </row>
    <row r="915" spans="1:6" x14ac:dyDescent="0.25">
      <c r="A915" s="230">
        <v>50760</v>
      </c>
      <c r="B915" s="230" t="s">
        <v>839</v>
      </c>
      <c r="C915" s="226"/>
      <c r="D915" s="241">
        <v>2</v>
      </c>
      <c r="E915" s="226" t="s">
        <v>1047</v>
      </c>
      <c r="F915" s="234">
        <f t="shared" si="14"/>
        <v>0</v>
      </c>
    </row>
    <row r="916" spans="1:6" x14ac:dyDescent="0.25">
      <c r="A916" s="230">
        <v>50770</v>
      </c>
      <c r="B916" s="230" t="s">
        <v>840</v>
      </c>
      <c r="C916" s="226"/>
      <c r="D916" s="241">
        <v>3.03</v>
      </c>
      <c r="E916" s="226" t="s">
        <v>1047</v>
      </c>
      <c r="F916" s="234">
        <f t="shared" si="14"/>
        <v>0</v>
      </c>
    </row>
    <row r="917" spans="1:6" x14ac:dyDescent="0.25">
      <c r="A917" s="230">
        <v>50780</v>
      </c>
      <c r="B917" s="230" t="s">
        <v>834</v>
      </c>
      <c r="C917" s="226"/>
      <c r="D917" s="241">
        <v>3.48</v>
      </c>
      <c r="E917" s="226" t="s">
        <v>1047</v>
      </c>
      <c r="F917" s="234">
        <f t="shared" si="14"/>
        <v>0</v>
      </c>
    </row>
    <row r="918" spans="1:6" x14ac:dyDescent="0.25">
      <c r="A918" s="230">
        <v>50790</v>
      </c>
      <c r="B918" s="230" t="s">
        <v>841</v>
      </c>
      <c r="C918" s="226"/>
      <c r="D918" s="241">
        <v>13.54</v>
      </c>
      <c r="E918" s="226" t="s">
        <v>1047</v>
      </c>
      <c r="F918" s="234">
        <f t="shared" si="14"/>
        <v>0</v>
      </c>
    </row>
    <row r="919" spans="1:6" x14ac:dyDescent="0.25">
      <c r="A919" s="230">
        <v>50800</v>
      </c>
      <c r="B919" s="230" t="s">
        <v>842</v>
      </c>
      <c r="C919" s="226"/>
      <c r="D919" s="241">
        <v>5.25</v>
      </c>
      <c r="E919" s="226" t="s">
        <v>1047</v>
      </c>
      <c r="F919" s="234">
        <f t="shared" si="14"/>
        <v>0</v>
      </c>
    </row>
    <row r="920" spans="1:6" x14ac:dyDescent="0.25">
      <c r="A920" s="230">
        <v>50810</v>
      </c>
      <c r="B920" s="230" t="s">
        <v>1009</v>
      </c>
      <c r="C920" s="226"/>
      <c r="D920" s="241">
        <v>0.08</v>
      </c>
      <c r="E920" s="226" t="s">
        <v>1047</v>
      </c>
      <c r="F920" s="234">
        <f t="shared" si="14"/>
        <v>0</v>
      </c>
    </row>
    <row r="921" spans="1:6" x14ac:dyDescent="0.25">
      <c r="A921" s="230">
        <v>50820</v>
      </c>
      <c r="B921" s="230" t="s">
        <v>1010</v>
      </c>
      <c r="C921" s="226"/>
      <c r="D921" s="241">
        <v>0.03</v>
      </c>
      <c r="E921" s="226" t="s">
        <v>1047</v>
      </c>
      <c r="F921" s="234">
        <f t="shared" si="14"/>
        <v>0</v>
      </c>
    </row>
    <row r="922" spans="1:6" x14ac:dyDescent="0.25">
      <c r="A922" s="230">
        <v>50830</v>
      </c>
      <c r="B922" s="230" t="s">
        <v>835</v>
      </c>
      <c r="C922" s="226"/>
      <c r="D922" s="241">
        <v>0.09</v>
      </c>
      <c r="E922" s="226" t="s">
        <v>1047</v>
      </c>
      <c r="F922" s="234">
        <f t="shared" si="14"/>
        <v>0</v>
      </c>
    </row>
    <row r="923" spans="1:6" x14ac:dyDescent="0.25">
      <c r="A923" s="230">
        <v>50840</v>
      </c>
      <c r="B923" s="230" t="s">
        <v>1011</v>
      </c>
      <c r="C923" s="226"/>
      <c r="D923" s="241">
        <v>114.4</v>
      </c>
      <c r="E923" s="226" t="s">
        <v>1047</v>
      </c>
      <c r="F923" s="234">
        <f t="shared" si="14"/>
        <v>0</v>
      </c>
    </row>
    <row r="924" spans="1:6" x14ac:dyDescent="0.25">
      <c r="A924" s="230">
        <v>50850</v>
      </c>
      <c r="B924" s="230" t="s">
        <v>836</v>
      </c>
      <c r="C924" s="226"/>
      <c r="D924" s="241">
        <v>21.24</v>
      </c>
      <c r="E924" s="226" t="s">
        <v>1047</v>
      </c>
      <c r="F924" s="234">
        <f t="shared" si="14"/>
        <v>0</v>
      </c>
    </row>
    <row r="925" spans="1:6" x14ac:dyDescent="0.25">
      <c r="A925" s="230">
        <v>50860</v>
      </c>
      <c r="B925" s="230" t="s">
        <v>1012</v>
      </c>
      <c r="C925" s="226">
        <v>1</v>
      </c>
      <c r="D925" s="241">
        <v>44.67</v>
      </c>
      <c r="E925" s="226" t="s">
        <v>1047</v>
      </c>
      <c r="F925" s="234">
        <f t="shared" si="14"/>
        <v>44.67</v>
      </c>
    </row>
    <row r="926" spans="1:6" x14ac:dyDescent="0.25">
      <c r="A926" s="230">
        <v>50870</v>
      </c>
      <c r="B926" s="230" t="s">
        <v>837</v>
      </c>
      <c r="C926" s="226"/>
      <c r="D926" s="241">
        <v>9.17</v>
      </c>
      <c r="E926" s="226" t="s">
        <v>1047</v>
      </c>
      <c r="F926" s="234">
        <f t="shared" si="14"/>
        <v>0</v>
      </c>
    </row>
    <row r="927" spans="1:6" x14ac:dyDescent="0.25">
      <c r="A927" s="226">
        <v>60000</v>
      </c>
      <c r="B927" s="226" t="s">
        <v>1561</v>
      </c>
      <c r="C927" s="226"/>
      <c r="D927" s="241">
        <v>0</v>
      </c>
      <c r="E927" s="226" t="s">
        <v>1047</v>
      </c>
      <c r="F927" s="234">
        <f t="shared" si="14"/>
        <v>0</v>
      </c>
    </row>
    <row r="928" spans="1:6" x14ac:dyDescent="0.25">
      <c r="A928" s="226">
        <v>60010</v>
      </c>
      <c r="B928" s="226" t="s">
        <v>1562</v>
      </c>
      <c r="C928" s="226"/>
      <c r="D928" s="241">
        <v>6.56</v>
      </c>
      <c r="E928" s="226" t="s">
        <v>1047</v>
      </c>
      <c r="F928" s="234">
        <f t="shared" si="14"/>
        <v>0</v>
      </c>
    </row>
    <row r="929" spans="1:6" x14ac:dyDescent="0.25">
      <c r="A929" s="226">
        <v>60020</v>
      </c>
      <c r="B929" s="226" t="s">
        <v>1565</v>
      </c>
      <c r="C929" s="226"/>
      <c r="D929" s="241">
        <v>7.29</v>
      </c>
      <c r="E929" s="226" t="s">
        <v>1047</v>
      </c>
      <c r="F929" s="234">
        <f t="shared" si="14"/>
        <v>0</v>
      </c>
    </row>
    <row r="930" spans="1:6" x14ac:dyDescent="0.25">
      <c r="A930" s="226">
        <v>60030</v>
      </c>
      <c r="B930" s="226" t="s">
        <v>1552</v>
      </c>
      <c r="C930" s="226"/>
      <c r="D930" s="241">
        <v>0</v>
      </c>
      <c r="E930" s="226" t="s">
        <v>1047</v>
      </c>
      <c r="F930" s="234">
        <f t="shared" si="14"/>
        <v>0</v>
      </c>
    </row>
    <row r="931" spans="1:6" x14ac:dyDescent="0.25">
      <c r="A931" s="226">
        <v>60040</v>
      </c>
      <c r="B931" s="226" t="s">
        <v>1533</v>
      </c>
      <c r="C931" s="226"/>
      <c r="D931" s="241">
        <v>35.56</v>
      </c>
      <c r="E931" s="226" t="s">
        <v>1047</v>
      </c>
      <c r="F931" s="234">
        <f t="shared" si="14"/>
        <v>0</v>
      </c>
    </row>
    <row r="932" spans="1:6" x14ac:dyDescent="0.25">
      <c r="A932" s="226">
        <v>60050</v>
      </c>
      <c r="B932" s="226" t="s">
        <v>1551</v>
      </c>
      <c r="C932" s="226"/>
      <c r="D932" s="241">
        <v>11.78</v>
      </c>
      <c r="E932" s="226" t="s">
        <v>1047</v>
      </c>
      <c r="F932" s="234">
        <f t="shared" si="14"/>
        <v>0</v>
      </c>
    </row>
    <row r="933" spans="1:6" x14ac:dyDescent="0.25">
      <c r="A933" s="226">
        <v>60060</v>
      </c>
      <c r="B933" s="226" t="s">
        <v>1515</v>
      </c>
      <c r="C933" s="226"/>
      <c r="D933" s="241">
        <v>0</v>
      </c>
      <c r="E933" s="226" t="s">
        <v>1047</v>
      </c>
      <c r="F933" s="234">
        <f t="shared" si="14"/>
        <v>0</v>
      </c>
    </row>
    <row r="934" spans="1:6" x14ac:dyDescent="0.25">
      <c r="A934" s="226">
        <v>60070</v>
      </c>
      <c r="B934" s="226" t="s">
        <v>1521</v>
      </c>
      <c r="C934" s="226"/>
      <c r="D934" s="241">
        <v>0</v>
      </c>
      <c r="E934" s="226" t="s">
        <v>1047</v>
      </c>
      <c r="F934" s="234">
        <f t="shared" si="14"/>
        <v>0</v>
      </c>
    </row>
    <row r="935" spans="1:6" x14ac:dyDescent="0.25">
      <c r="A935" s="226">
        <v>60080</v>
      </c>
      <c r="B935" s="226" t="s">
        <v>1524</v>
      </c>
      <c r="C935" s="226"/>
      <c r="D935" s="241">
        <v>9.6</v>
      </c>
      <c r="E935" s="226" t="s">
        <v>1047</v>
      </c>
      <c r="F935" s="234">
        <f t="shared" si="14"/>
        <v>0</v>
      </c>
    </row>
    <row r="936" spans="1:6" x14ac:dyDescent="0.25">
      <c r="A936" s="226">
        <v>60090</v>
      </c>
      <c r="B936" s="226" t="s">
        <v>1508</v>
      </c>
      <c r="C936" s="226"/>
      <c r="D936" s="241">
        <v>0</v>
      </c>
      <c r="E936" s="226" t="s">
        <v>1047</v>
      </c>
      <c r="F936" s="234">
        <f t="shared" si="14"/>
        <v>0</v>
      </c>
    </row>
    <row r="937" spans="1:6" x14ac:dyDescent="0.25">
      <c r="A937" s="226">
        <v>60100</v>
      </c>
      <c r="B937" s="226" t="s">
        <v>1509</v>
      </c>
      <c r="C937" s="226"/>
      <c r="D937" s="241">
        <v>0</v>
      </c>
      <c r="E937" s="226" t="s">
        <v>1047</v>
      </c>
      <c r="F937" s="234">
        <f t="shared" si="14"/>
        <v>0</v>
      </c>
    </row>
    <row r="938" spans="1:6" x14ac:dyDescent="0.25">
      <c r="A938" s="226">
        <v>60110</v>
      </c>
      <c r="B938" s="226" t="s">
        <v>1526</v>
      </c>
      <c r="C938" s="226"/>
      <c r="D938" s="241">
        <v>0</v>
      </c>
      <c r="E938" s="226" t="s">
        <v>1047</v>
      </c>
      <c r="F938" s="234">
        <f t="shared" si="14"/>
        <v>0</v>
      </c>
    </row>
    <row r="939" spans="1:6" x14ac:dyDescent="0.25">
      <c r="A939" s="226">
        <v>60120</v>
      </c>
      <c r="B939" s="226" t="s">
        <v>1510</v>
      </c>
      <c r="C939" s="226"/>
      <c r="D939" s="241">
        <v>0</v>
      </c>
      <c r="E939" s="226" t="s">
        <v>1047</v>
      </c>
      <c r="F939" s="234">
        <f t="shared" si="14"/>
        <v>0</v>
      </c>
    </row>
    <row r="940" spans="1:6" x14ac:dyDescent="0.25">
      <c r="A940" s="226">
        <v>60130</v>
      </c>
      <c r="B940" s="226" t="s">
        <v>1511</v>
      </c>
      <c r="C940" s="226"/>
      <c r="D940" s="241">
        <v>0</v>
      </c>
      <c r="E940" s="226" t="s">
        <v>1047</v>
      </c>
      <c r="F940" s="234">
        <f t="shared" si="14"/>
        <v>0</v>
      </c>
    </row>
    <row r="941" spans="1:6" x14ac:dyDescent="0.25">
      <c r="A941" s="226">
        <v>60140</v>
      </c>
      <c r="B941" s="226" t="s">
        <v>1513</v>
      </c>
      <c r="C941" s="226"/>
      <c r="D941" s="241">
        <v>0</v>
      </c>
      <c r="E941" s="226" t="s">
        <v>1047</v>
      </c>
      <c r="F941" s="234">
        <f t="shared" si="14"/>
        <v>0</v>
      </c>
    </row>
    <row r="942" spans="1:6" x14ac:dyDescent="0.25">
      <c r="A942" s="226">
        <v>60150</v>
      </c>
      <c r="B942" s="226" t="s">
        <v>1522</v>
      </c>
      <c r="C942" s="226"/>
      <c r="D942" s="241">
        <v>49.1</v>
      </c>
      <c r="E942" s="226" t="s">
        <v>1047</v>
      </c>
      <c r="F942" s="234">
        <f t="shared" si="14"/>
        <v>0</v>
      </c>
    </row>
    <row r="943" spans="1:6" x14ac:dyDescent="0.25">
      <c r="A943" s="226">
        <v>60160</v>
      </c>
      <c r="B943" s="226" t="s">
        <v>1525</v>
      </c>
      <c r="C943" s="226"/>
      <c r="D943" s="241">
        <v>0</v>
      </c>
      <c r="E943" s="226" t="s">
        <v>1047</v>
      </c>
      <c r="F943" s="234">
        <f t="shared" si="14"/>
        <v>0</v>
      </c>
    </row>
    <row r="944" spans="1:6" x14ac:dyDescent="0.25">
      <c r="A944" s="226">
        <v>60170</v>
      </c>
      <c r="B944" s="226" t="s">
        <v>1512</v>
      </c>
      <c r="C944" s="226"/>
      <c r="D944" s="241">
        <v>0</v>
      </c>
      <c r="E944" s="226" t="s">
        <v>1047</v>
      </c>
      <c r="F944" s="234">
        <f t="shared" si="14"/>
        <v>0</v>
      </c>
    </row>
    <row r="945" spans="1:6" x14ac:dyDescent="0.25">
      <c r="A945" s="226">
        <v>60180</v>
      </c>
      <c r="B945" s="226" t="s">
        <v>1531</v>
      </c>
      <c r="C945" s="226"/>
      <c r="D945" s="241">
        <v>16.670000000000002</v>
      </c>
      <c r="E945" s="226" t="s">
        <v>1047</v>
      </c>
      <c r="F945" s="234">
        <f t="shared" si="14"/>
        <v>0</v>
      </c>
    </row>
    <row r="946" spans="1:6" x14ac:dyDescent="0.25">
      <c r="A946" s="226">
        <v>60190</v>
      </c>
      <c r="B946" s="226" t="s">
        <v>1532</v>
      </c>
      <c r="C946" s="226"/>
      <c r="D946" s="241">
        <v>7.2</v>
      </c>
      <c r="E946" s="226" t="s">
        <v>1047</v>
      </c>
      <c r="F946" s="234">
        <f t="shared" si="14"/>
        <v>0</v>
      </c>
    </row>
    <row r="947" spans="1:6" x14ac:dyDescent="0.25">
      <c r="A947" s="226">
        <v>60200</v>
      </c>
      <c r="B947" s="226" t="s">
        <v>1516</v>
      </c>
      <c r="C947" s="226"/>
      <c r="D947" s="241">
        <v>20.86</v>
      </c>
      <c r="E947" s="226" t="s">
        <v>1047</v>
      </c>
      <c r="F947" s="234">
        <f t="shared" si="14"/>
        <v>0</v>
      </c>
    </row>
    <row r="948" spans="1:6" x14ac:dyDescent="0.25">
      <c r="A948" s="226">
        <v>60210</v>
      </c>
      <c r="B948" s="226" t="s">
        <v>1514</v>
      </c>
      <c r="C948" s="226"/>
      <c r="D948" s="241">
        <v>0.66</v>
      </c>
      <c r="E948" s="226" t="s">
        <v>1047</v>
      </c>
      <c r="F948" s="234">
        <f t="shared" si="14"/>
        <v>0</v>
      </c>
    </row>
    <row r="949" spans="1:6" x14ac:dyDescent="0.25">
      <c r="A949" s="226">
        <v>60220</v>
      </c>
      <c r="B949" s="226" t="s">
        <v>1523</v>
      </c>
      <c r="C949" s="226"/>
      <c r="D949" s="241">
        <v>25.8</v>
      </c>
      <c r="E949" s="226" t="s">
        <v>1047</v>
      </c>
      <c r="F949" s="234">
        <f t="shared" si="14"/>
        <v>0</v>
      </c>
    </row>
    <row r="950" spans="1:6" x14ac:dyDescent="0.25">
      <c r="A950" s="226">
        <v>60230</v>
      </c>
      <c r="B950" s="226" t="s">
        <v>1544</v>
      </c>
      <c r="C950" s="226"/>
      <c r="D950" s="241">
        <v>48.03</v>
      </c>
      <c r="E950" s="226" t="s">
        <v>1047</v>
      </c>
      <c r="F950" s="234">
        <f t="shared" si="14"/>
        <v>0</v>
      </c>
    </row>
    <row r="951" spans="1:6" x14ac:dyDescent="0.25">
      <c r="A951" s="226">
        <v>60240</v>
      </c>
      <c r="B951" s="226" t="s">
        <v>1554</v>
      </c>
      <c r="C951" s="226"/>
      <c r="D951" s="241">
        <v>864</v>
      </c>
      <c r="E951" s="226" t="s">
        <v>1047</v>
      </c>
      <c r="F951" s="234">
        <f t="shared" si="14"/>
        <v>0</v>
      </c>
    </row>
    <row r="952" spans="1:6" x14ac:dyDescent="0.25">
      <c r="A952" s="226">
        <v>60250</v>
      </c>
      <c r="B952" s="226" t="s">
        <v>1555</v>
      </c>
      <c r="C952" s="226"/>
      <c r="D952" s="241">
        <v>1264</v>
      </c>
      <c r="E952" s="226" t="s">
        <v>1047</v>
      </c>
      <c r="F952" s="234">
        <f t="shared" si="14"/>
        <v>0</v>
      </c>
    </row>
    <row r="953" spans="1:6" x14ac:dyDescent="0.25">
      <c r="A953" s="226">
        <v>60260</v>
      </c>
      <c r="B953" s="226" t="s">
        <v>1541</v>
      </c>
      <c r="C953" s="226"/>
      <c r="D953" s="241">
        <v>49.1</v>
      </c>
      <c r="E953" s="226" t="s">
        <v>1047</v>
      </c>
      <c r="F953" s="234">
        <f t="shared" si="14"/>
        <v>0</v>
      </c>
    </row>
    <row r="954" spans="1:6" x14ac:dyDescent="0.25">
      <c r="A954" s="226">
        <v>60270</v>
      </c>
      <c r="B954" s="226" t="s">
        <v>1539</v>
      </c>
      <c r="C954" s="226"/>
      <c r="D954" s="241">
        <v>13.2</v>
      </c>
      <c r="E954" s="226" t="s">
        <v>1047</v>
      </c>
      <c r="F954" s="234">
        <f t="shared" si="14"/>
        <v>0</v>
      </c>
    </row>
    <row r="955" spans="1:6" x14ac:dyDescent="0.25">
      <c r="A955" s="226">
        <v>60280</v>
      </c>
      <c r="B955" s="226" t="s">
        <v>1540</v>
      </c>
      <c r="C955" s="226"/>
      <c r="D955" s="241">
        <v>38.1</v>
      </c>
      <c r="E955" s="226" t="s">
        <v>1047</v>
      </c>
      <c r="F955" s="234">
        <f t="shared" si="14"/>
        <v>0</v>
      </c>
    </row>
    <row r="956" spans="1:6" x14ac:dyDescent="0.25">
      <c r="A956" s="226">
        <v>60290</v>
      </c>
      <c r="B956" s="226" t="s">
        <v>1530</v>
      </c>
      <c r="C956" s="226"/>
      <c r="D956" s="241">
        <v>686</v>
      </c>
      <c r="E956" s="226" t="s">
        <v>1047</v>
      </c>
      <c r="F956" s="234">
        <f t="shared" si="14"/>
        <v>0</v>
      </c>
    </row>
    <row r="957" spans="1:6" x14ac:dyDescent="0.25">
      <c r="A957" s="226">
        <v>60300</v>
      </c>
      <c r="B957" s="226" t="s">
        <v>1527</v>
      </c>
      <c r="C957" s="226"/>
      <c r="D957" s="241">
        <v>795</v>
      </c>
      <c r="E957" s="226" t="s">
        <v>1047</v>
      </c>
      <c r="F957" s="234">
        <f t="shared" si="14"/>
        <v>0</v>
      </c>
    </row>
    <row r="958" spans="1:6" x14ac:dyDescent="0.25">
      <c r="A958" s="226">
        <v>60310</v>
      </c>
      <c r="B958" s="226" t="s">
        <v>1550</v>
      </c>
      <c r="C958" s="226"/>
      <c r="D958" s="241">
        <v>63.23</v>
      </c>
      <c r="E958" s="226" t="s">
        <v>1047</v>
      </c>
      <c r="F958" s="234">
        <f t="shared" si="14"/>
        <v>0</v>
      </c>
    </row>
    <row r="959" spans="1:6" x14ac:dyDescent="0.25">
      <c r="A959" s="226">
        <v>60320</v>
      </c>
      <c r="B959" s="226" t="s">
        <v>1553</v>
      </c>
      <c r="C959" s="226"/>
      <c r="D959" s="241">
        <v>719</v>
      </c>
      <c r="E959" s="226" t="s">
        <v>1047</v>
      </c>
      <c r="F959" s="234">
        <f t="shared" si="14"/>
        <v>0</v>
      </c>
    </row>
    <row r="960" spans="1:6" x14ac:dyDescent="0.25">
      <c r="A960" s="226">
        <v>60330</v>
      </c>
      <c r="B960" s="226" t="s">
        <v>1537</v>
      </c>
      <c r="C960" s="226"/>
      <c r="D960" s="241">
        <v>468.82</v>
      </c>
      <c r="E960" s="226" t="s">
        <v>1047</v>
      </c>
      <c r="F960" s="234">
        <f t="shared" si="14"/>
        <v>0</v>
      </c>
    </row>
    <row r="961" spans="1:6" x14ac:dyDescent="0.25">
      <c r="A961" s="226">
        <v>60340</v>
      </c>
      <c r="B961" s="226" t="s">
        <v>1538</v>
      </c>
      <c r="C961" s="226"/>
      <c r="D961" s="241">
        <v>419.17</v>
      </c>
      <c r="E961" s="226" t="s">
        <v>1047</v>
      </c>
      <c r="F961" s="234">
        <f t="shared" si="14"/>
        <v>0</v>
      </c>
    </row>
    <row r="962" spans="1:6" x14ac:dyDescent="0.25">
      <c r="A962" s="226">
        <v>60350</v>
      </c>
      <c r="B962" s="226" t="s">
        <v>1507</v>
      </c>
      <c r="C962" s="226"/>
      <c r="D962" s="241">
        <v>16.690000000000001</v>
      </c>
      <c r="E962" s="226" t="s">
        <v>1047</v>
      </c>
      <c r="F962" s="234">
        <f t="shared" si="14"/>
        <v>0</v>
      </c>
    </row>
    <row r="963" spans="1:6" x14ac:dyDescent="0.25">
      <c r="A963" s="226">
        <v>60360</v>
      </c>
      <c r="B963" s="226" t="s">
        <v>1064</v>
      </c>
      <c r="C963" s="226"/>
      <c r="D963" s="241">
        <v>143.09</v>
      </c>
      <c r="E963" s="226" t="s">
        <v>1047</v>
      </c>
      <c r="F963" s="234">
        <f t="shared" si="14"/>
        <v>0</v>
      </c>
    </row>
    <row r="964" spans="1:6" x14ac:dyDescent="0.25">
      <c r="A964" s="226">
        <v>60370</v>
      </c>
      <c r="B964" s="226" t="s">
        <v>1066</v>
      </c>
      <c r="C964" s="226"/>
      <c r="D964" s="241">
        <v>280</v>
      </c>
      <c r="E964" s="226" t="s">
        <v>1047</v>
      </c>
      <c r="F964" s="234">
        <f t="shared" si="14"/>
        <v>0</v>
      </c>
    </row>
    <row r="965" spans="1:6" x14ac:dyDescent="0.25">
      <c r="A965" s="226">
        <v>60380</v>
      </c>
      <c r="B965" s="226" t="s">
        <v>1535</v>
      </c>
      <c r="C965" s="226"/>
      <c r="D965" s="241">
        <v>55.49</v>
      </c>
      <c r="E965" s="226" t="s">
        <v>1047</v>
      </c>
      <c r="F965" s="234">
        <f t="shared" si="14"/>
        <v>0</v>
      </c>
    </row>
    <row r="966" spans="1:6" x14ac:dyDescent="0.25">
      <c r="A966" s="226">
        <v>60390</v>
      </c>
      <c r="B966" s="226" t="s">
        <v>1536</v>
      </c>
      <c r="C966" s="226"/>
      <c r="D966" s="241">
        <v>21.12</v>
      </c>
      <c r="E966" s="226" t="s">
        <v>1047</v>
      </c>
      <c r="F966" s="234">
        <f t="shared" si="14"/>
        <v>0</v>
      </c>
    </row>
    <row r="967" spans="1:6" x14ac:dyDescent="0.25">
      <c r="A967" s="226">
        <v>60400</v>
      </c>
      <c r="B967" s="226" t="s">
        <v>1534</v>
      </c>
      <c r="C967" s="226"/>
      <c r="D967" s="241">
        <v>0.86</v>
      </c>
      <c r="E967" s="226" t="s">
        <v>1047</v>
      </c>
      <c r="F967" s="234">
        <f t="shared" si="14"/>
        <v>0</v>
      </c>
    </row>
    <row r="968" spans="1:6" x14ac:dyDescent="0.25">
      <c r="A968" s="226">
        <v>60410</v>
      </c>
      <c r="B968" s="226" t="s">
        <v>1545</v>
      </c>
      <c r="C968" s="226"/>
      <c r="D968" s="241">
        <v>1.17</v>
      </c>
      <c r="E968" s="226" t="s">
        <v>1047</v>
      </c>
      <c r="F968" s="234">
        <f t="shared" si="14"/>
        <v>0</v>
      </c>
    </row>
    <row r="969" spans="1:6" x14ac:dyDescent="0.25">
      <c r="A969" s="226">
        <v>60420</v>
      </c>
      <c r="B969" s="226" t="s">
        <v>1546</v>
      </c>
      <c r="C969" s="226"/>
      <c r="D969" s="241">
        <v>0.76</v>
      </c>
      <c r="E969" s="226" t="s">
        <v>1047</v>
      </c>
      <c r="F969" s="234">
        <f t="shared" si="14"/>
        <v>0</v>
      </c>
    </row>
    <row r="970" spans="1:6" x14ac:dyDescent="0.25">
      <c r="A970" s="226">
        <v>60430</v>
      </c>
      <c r="B970" s="226" t="s">
        <v>1543</v>
      </c>
      <c r="C970" s="226"/>
      <c r="D970" s="241">
        <v>0</v>
      </c>
      <c r="E970" s="226" t="s">
        <v>1047</v>
      </c>
      <c r="F970" s="234">
        <f t="shared" si="14"/>
        <v>0</v>
      </c>
    </row>
    <row r="971" spans="1:6" x14ac:dyDescent="0.25">
      <c r="A971" s="226">
        <v>60440</v>
      </c>
      <c r="B971" s="226" t="s">
        <v>1542</v>
      </c>
      <c r="C971" s="226"/>
      <c r="D971" s="241">
        <v>0</v>
      </c>
      <c r="E971" s="226" t="s">
        <v>1047</v>
      </c>
      <c r="F971" s="234">
        <f t="shared" si="14"/>
        <v>0</v>
      </c>
    </row>
    <row r="972" spans="1:6" x14ac:dyDescent="0.25">
      <c r="A972" s="226">
        <v>60450</v>
      </c>
      <c r="B972" s="226" t="s">
        <v>1528</v>
      </c>
      <c r="C972" s="226"/>
      <c r="D972" s="241">
        <v>120.88</v>
      </c>
      <c r="E972" s="226" t="s">
        <v>1047</v>
      </c>
      <c r="F972" s="234">
        <f t="shared" ref="F972:F997" si="15">C972*D972</f>
        <v>0</v>
      </c>
    </row>
    <row r="973" spans="1:6" x14ac:dyDescent="0.25">
      <c r="A973" s="226">
        <v>60460</v>
      </c>
      <c r="B973" s="226" t="s">
        <v>1529</v>
      </c>
      <c r="C973" s="226"/>
      <c r="D973" s="241">
        <v>95</v>
      </c>
      <c r="E973" s="226" t="s">
        <v>1047</v>
      </c>
      <c r="F973" s="234">
        <f t="shared" si="15"/>
        <v>0</v>
      </c>
    </row>
    <row r="974" spans="1:6" x14ac:dyDescent="0.25">
      <c r="A974" s="226">
        <v>60470</v>
      </c>
      <c r="B974" s="226" t="s">
        <v>1518</v>
      </c>
      <c r="C974" s="226"/>
      <c r="D974" s="241">
        <v>568</v>
      </c>
      <c r="E974" s="226" t="s">
        <v>1047</v>
      </c>
      <c r="F974" s="234">
        <f t="shared" si="15"/>
        <v>0</v>
      </c>
    </row>
    <row r="975" spans="1:6" x14ac:dyDescent="0.25">
      <c r="A975" s="226">
        <v>60480</v>
      </c>
      <c r="B975" s="226" t="s">
        <v>1517</v>
      </c>
      <c r="C975" s="226"/>
      <c r="D975" s="241">
        <v>221.81</v>
      </c>
      <c r="E975" s="226" t="s">
        <v>1047</v>
      </c>
      <c r="F975" s="234">
        <f t="shared" si="15"/>
        <v>0</v>
      </c>
    </row>
    <row r="976" spans="1:6" x14ac:dyDescent="0.25">
      <c r="A976" s="226">
        <v>60490</v>
      </c>
      <c r="B976" s="226" t="s">
        <v>1520</v>
      </c>
      <c r="C976" s="226"/>
      <c r="D976" s="241">
        <v>128.58000000000001</v>
      </c>
      <c r="E976" s="226" t="s">
        <v>1047</v>
      </c>
      <c r="F976" s="234">
        <f t="shared" si="15"/>
        <v>0</v>
      </c>
    </row>
    <row r="977" spans="1:6" x14ac:dyDescent="0.25">
      <c r="A977" s="226">
        <v>60500</v>
      </c>
      <c r="B977" s="226" t="s">
        <v>1549</v>
      </c>
      <c r="C977" s="226"/>
      <c r="D977" s="241">
        <v>265.68</v>
      </c>
      <c r="E977" s="226" t="s">
        <v>1047</v>
      </c>
      <c r="F977" s="234">
        <f t="shared" si="15"/>
        <v>0</v>
      </c>
    </row>
    <row r="978" spans="1:6" x14ac:dyDescent="0.25">
      <c r="A978" s="226">
        <v>60510</v>
      </c>
      <c r="B978" s="226" t="s">
        <v>1547</v>
      </c>
      <c r="C978" s="226"/>
      <c r="D978" s="241">
        <v>101</v>
      </c>
      <c r="E978" s="226" t="s">
        <v>1047</v>
      </c>
      <c r="F978" s="234">
        <f t="shared" si="15"/>
        <v>0</v>
      </c>
    </row>
    <row r="979" spans="1:6" x14ac:dyDescent="0.25">
      <c r="A979" s="226">
        <v>60520</v>
      </c>
      <c r="B979" s="226" t="s">
        <v>1548</v>
      </c>
      <c r="C979" s="226"/>
      <c r="D979" s="241">
        <v>27.82</v>
      </c>
      <c r="E979" s="226" t="s">
        <v>1047</v>
      </c>
      <c r="F979" s="234">
        <f t="shared" si="15"/>
        <v>0</v>
      </c>
    </row>
    <row r="980" spans="1:6" x14ac:dyDescent="0.25">
      <c r="A980" s="226">
        <v>60530</v>
      </c>
      <c r="B980" s="226" t="s">
        <v>1519</v>
      </c>
      <c r="C980" s="226"/>
      <c r="D980" s="241">
        <v>100.26</v>
      </c>
      <c r="E980" s="226" t="s">
        <v>1047</v>
      </c>
      <c r="F980" s="234">
        <f t="shared" si="15"/>
        <v>0</v>
      </c>
    </row>
    <row r="981" spans="1:6" x14ac:dyDescent="0.25">
      <c r="A981" s="230">
        <v>70000</v>
      </c>
      <c r="B981" s="230" t="s">
        <v>983</v>
      </c>
      <c r="C981" s="226"/>
      <c r="D981" s="241"/>
      <c r="E981" s="226" t="s">
        <v>1047</v>
      </c>
      <c r="F981" s="234">
        <f t="shared" si="15"/>
        <v>0</v>
      </c>
    </row>
    <row r="982" spans="1:6" x14ac:dyDescent="0.25">
      <c r="A982" s="230">
        <v>70010</v>
      </c>
      <c r="B982" s="230" t="s">
        <v>565</v>
      </c>
      <c r="C982" s="226"/>
      <c r="D982" s="241"/>
      <c r="E982" s="226" t="s">
        <v>1047</v>
      </c>
      <c r="F982" s="234">
        <f t="shared" si="15"/>
        <v>0</v>
      </c>
    </row>
    <row r="983" spans="1:6" x14ac:dyDescent="0.25">
      <c r="A983" s="230">
        <v>70020</v>
      </c>
      <c r="B983" s="230" t="s">
        <v>566</v>
      </c>
      <c r="C983" s="226"/>
      <c r="D983" s="241">
        <v>125.15</v>
      </c>
      <c r="E983" s="226" t="s">
        <v>1047</v>
      </c>
      <c r="F983" s="234">
        <f t="shared" si="15"/>
        <v>0</v>
      </c>
    </row>
    <row r="984" spans="1:6" x14ac:dyDescent="0.25">
      <c r="A984" s="230">
        <v>70030</v>
      </c>
      <c r="B984" s="230" t="s">
        <v>567</v>
      </c>
      <c r="C984" s="226"/>
      <c r="D984" s="241"/>
      <c r="E984" s="226" t="s">
        <v>1047</v>
      </c>
      <c r="F984" s="234">
        <f t="shared" si="15"/>
        <v>0</v>
      </c>
    </row>
    <row r="985" spans="1:6" x14ac:dyDescent="0.25">
      <c r="A985" s="230">
        <v>70040</v>
      </c>
      <c r="B985" s="230" t="s">
        <v>568</v>
      </c>
      <c r="C985" s="226"/>
      <c r="D985" s="241"/>
      <c r="E985" s="226" t="s">
        <v>1047</v>
      </c>
      <c r="F985" s="234">
        <f t="shared" si="15"/>
        <v>0</v>
      </c>
    </row>
    <row r="986" spans="1:6" x14ac:dyDescent="0.25">
      <c r="A986" s="230">
        <v>70050</v>
      </c>
      <c r="B986" s="230" t="s">
        <v>569</v>
      </c>
      <c r="C986" s="226"/>
      <c r="D986" s="241"/>
      <c r="E986" s="226" t="s">
        <v>1047</v>
      </c>
      <c r="F986" s="234">
        <f t="shared" si="15"/>
        <v>0</v>
      </c>
    </row>
    <row r="987" spans="1:6" x14ac:dyDescent="0.25">
      <c r="A987" s="230">
        <v>70060</v>
      </c>
      <c r="B987" s="230" t="s">
        <v>570</v>
      </c>
      <c r="C987" s="226"/>
      <c r="D987" s="241"/>
      <c r="E987" s="226" t="s">
        <v>1047</v>
      </c>
      <c r="F987" s="234">
        <f t="shared" si="15"/>
        <v>0</v>
      </c>
    </row>
    <row r="988" spans="1:6" x14ac:dyDescent="0.25">
      <c r="A988" s="230">
        <v>70070</v>
      </c>
      <c r="B988" s="230" t="s">
        <v>797</v>
      </c>
      <c r="C988" s="226"/>
      <c r="D988" s="241"/>
      <c r="E988" s="226" t="s">
        <v>1047</v>
      </c>
      <c r="F988" s="234">
        <f t="shared" si="15"/>
        <v>0</v>
      </c>
    </row>
    <row r="989" spans="1:6" x14ac:dyDescent="0.25">
      <c r="A989" s="230">
        <v>70080</v>
      </c>
      <c r="B989" s="230" t="s">
        <v>798</v>
      </c>
      <c r="C989" s="226"/>
      <c r="D989" s="241"/>
      <c r="E989" s="226" t="s">
        <v>1047</v>
      </c>
      <c r="F989" s="234">
        <f t="shared" si="15"/>
        <v>0</v>
      </c>
    </row>
    <row r="990" spans="1:6" x14ac:dyDescent="0.25">
      <c r="A990" s="230">
        <v>70090</v>
      </c>
      <c r="B990" s="230" t="s">
        <v>799</v>
      </c>
      <c r="C990" s="226"/>
      <c r="D990" s="241">
        <v>0</v>
      </c>
      <c r="E990" s="226" t="s">
        <v>1047</v>
      </c>
      <c r="F990" s="234">
        <f t="shared" si="15"/>
        <v>0</v>
      </c>
    </row>
    <row r="991" spans="1:6" x14ac:dyDescent="0.25">
      <c r="A991" s="230">
        <v>70100</v>
      </c>
      <c r="B991" s="230" t="s">
        <v>1492</v>
      </c>
      <c r="C991" s="226"/>
      <c r="D991" s="241">
        <v>0</v>
      </c>
      <c r="E991" s="226" t="s">
        <v>1047</v>
      </c>
      <c r="F991" s="234">
        <f t="shared" si="15"/>
        <v>0</v>
      </c>
    </row>
    <row r="992" spans="1:6" x14ac:dyDescent="0.25">
      <c r="A992" s="230">
        <v>70110</v>
      </c>
      <c r="B992" s="230" t="s">
        <v>801</v>
      </c>
      <c r="C992" s="226"/>
      <c r="D992" s="241">
        <v>0</v>
      </c>
      <c r="E992" s="226" t="s">
        <v>1047</v>
      </c>
      <c r="F992" s="234">
        <f t="shared" si="15"/>
        <v>0</v>
      </c>
    </row>
    <row r="993" spans="1:6" x14ac:dyDescent="0.25">
      <c r="A993" s="230">
        <v>70120</v>
      </c>
      <c r="B993" s="230" t="s">
        <v>1845</v>
      </c>
      <c r="C993" s="226"/>
      <c r="D993" s="241">
        <v>0</v>
      </c>
      <c r="E993" s="226" t="s">
        <v>1047</v>
      </c>
      <c r="F993" s="234">
        <f t="shared" si="15"/>
        <v>0</v>
      </c>
    </row>
    <row r="994" spans="1:6" x14ac:dyDescent="0.25">
      <c r="A994" s="230">
        <v>70130</v>
      </c>
      <c r="B994" s="230" t="s">
        <v>803</v>
      </c>
      <c r="C994" s="226"/>
      <c r="D994" s="241"/>
      <c r="E994" s="226" t="s">
        <v>1047</v>
      </c>
      <c r="F994" s="234">
        <f t="shared" si="15"/>
        <v>0</v>
      </c>
    </row>
    <row r="995" spans="1:6" x14ac:dyDescent="0.25">
      <c r="A995" s="230">
        <v>70140</v>
      </c>
      <c r="B995" s="230" t="s">
        <v>804</v>
      </c>
      <c r="C995" s="226"/>
      <c r="D995" s="241"/>
      <c r="E995" s="226" t="s">
        <v>1047</v>
      </c>
      <c r="F995" s="234">
        <f t="shared" si="15"/>
        <v>0</v>
      </c>
    </row>
    <row r="996" spans="1:6" x14ac:dyDescent="0.25">
      <c r="A996" s="230">
        <v>70150</v>
      </c>
      <c r="B996" s="230" t="s">
        <v>1769</v>
      </c>
      <c r="C996" s="226"/>
      <c r="D996" s="241"/>
      <c r="E996" s="226" t="s">
        <v>1047</v>
      </c>
      <c r="F996" s="234">
        <f t="shared" si="15"/>
        <v>0</v>
      </c>
    </row>
    <row r="997" spans="1:6" x14ac:dyDescent="0.25">
      <c r="A997" s="230">
        <v>70150</v>
      </c>
      <c r="B997" s="230" t="s">
        <v>1769</v>
      </c>
      <c r="C997" s="226"/>
      <c r="D997" s="241"/>
      <c r="E997" s="226" t="s">
        <v>1047</v>
      </c>
      <c r="F997" s="234">
        <f t="shared" si="15"/>
        <v>0</v>
      </c>
    </row>
    <row r="999" spans="1:6" x14ac:dyDescent="0.25">
      <c r="F999" s="261">
        <f>SUM(F11:F998)</f>
        <v>22497.010000000002</v>
      </c>
    </row>
  </sheetData>
  <mergeCells count="9">
    <mergeCell ref="B3:C3"/>
    <mergeCell ref="A1:F1"/>
    <mergeCell ref="B7:C7"/>
    <mergeCell ref="B8:C8"/>
    <mergeCell ref="B4:C4"/>
    <mergeCell ref="B5:C5"/>
    <mergeCell ref="B6:C6"/>
    <mergeCell ref="F3:G3"/>
    <mergeCell ref="F4:G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EF64-BFD4-4406-A69E-2C6088871094}">
  <dimension ref="A2:F40"/>
  <sheetViews>
    <sheetView topLeftCell="A7" workbookViewId="0">
      <selection activeCell="J10" sqref="J10"/>
    </sheetView>
  </sheetViews>
  <sheetFormatPr defaultRowHeight="15" x14ac:dyDescent="0.25"/>
  <cols>
    <col min="1" max="1" width="13.85546875" customWidth="1"/>
  </cols>
  <sheetData>
    <row r="2" spans="1:6" x14ac:dyDescent="0.25">
      <c r="A2" t="s">
        <v>1879</v>
      </c>
      <c r="C2">
        <v>144</v>
      </c>
      <c r="D2" s="255">
        <f>C2*C$19</f>
        <v>118.58823529411764</v>
      </c>
    </row>
    <row r="3" spans="1:6" x14ac:dyDescent="0.25">
      <c r="A3" t="s">
        <v>1880</v>
      </c>
      <c r="C3">
        <v>251</v>
      </c>
      <c r="D3" s="255">
        <f t="shared" ref="D3:D17" si="0">C3*C$19</f>
        <v>206.70588235294116</v>
      </c>
    </row>
    <row r="4" spans="1:6" x14ac:dyDescent="0.25">
      <c r="A4" t="s">
        <v>1881</v>
      </c>
      <c r="C4">
        <v>148</v>
      </c>
      <c r="D4" s="255">
        <f t="shared" si="0"/>
        <v>121.88235294117646</v>
      </c>
    </row>
    <row r="5" spans="1:6" x14ac:dyDescent="0.25">
      <c r="A5" t="s">
        <v>1882</v>
      </c>
      <c r="C5">
        <v>164</v>
      </c>
      <c r="D5" s="255">
        <f t="shared" si="0"/>
        <v>135.05882352941177</v>
      </c>
    </row>
    <row r="6" spans="1:6" x14ac:dyDescent="0.25">
      <c r="A6" t="s">
        <v>1883</v>
      </c>
      <c r="C6">
        <v>76</v>
      </c>
      <c r="D6" s="255">
        <f t="shared" si="0"/>
        <v>62.588235294117645</v>
      </c>
      <c r="F6" s="255">
        <f>D13+D14+D15+D16+D17+D11+D12</f>
        <v>534.47058823529414</v>
      </c>
    </row>
    <row r="7" spans="1:6" x14ac:dyDescent="0.25">
      <c r="A7" t="s">
        <v>1884</v>
      </c>
      <c r="C7">
        <v>131</v>
      </c>
      <c r="D7" s="255">
        <f t="shared" si="0"/>
        <v>107.88235294117646</v>
      </c>
      <c r="F7" s="255">
        <f>D18-F6</f>
        <v>865.52941176470586</v>
      </c>
    </row>
    <row r="8" spans="1:6" x14ac:dyDescent="0.25">
      <c r="A8" t="s">
        <v>1885</v>
      </c>
      <c r="C8">
        <v>61</v>
      </c>
      <c r="D8" s="255">
        <f t="shared" si="0"/>
        <v>50.235294117647058</v>
      </c>
    </row>
    <row r="9" spans="1:6" x14ac:dyDescent="0.25">
      <c r="A9" t="s">
        <v>1886</v>
      </c>
      <c r="C9">
        <v>71</v>
      </c>
      <c r="D9" s="255">
        <f t="shared" si="0"/>
        <v>58.470588235294116</v>
      </c>
    </row>
    <row r="10" spans="1:6" x14ac:dyDescent="0.25">
      <c r="A10" t="s">
        <v>1887</v>
      </c>
      <c r="C10">
        <v>5</v>
      </c>
      <c r="D10" s="255">
        <f t="shared" si="0"/>
        <v>4.117647058823529</v>
      </c>
    </row>
    <row r="11" spans="1:6" x14ac:dyDescent="0.25">
      <c r="A11" t="s">
        <v>1888</v>
      </c>
      <c r="C11">
        <v>210</v>
      </c>
      <c r="D11" s="255">
        <f t="shared" si="0"/>
        <v>172.94117647058823</v>
      </c>
    </row>
    <row r="12" spans="1:6" x14ac:dyDescent="0.25">
      <c r="A12" t="s">
        <v>1889</v>
      </c>
      <c r="C12">
        <v>103</v>
      </c>
      <c r="D12" s="255">
        <f t="shared" si="0"/>
        <v>84.823529411764696</v>
      </c>
    </row>
    <row r="13" spans="1:6" x14ac:dyDescent="0.25">
      <c r="A13" t="s">
        <v>1890</v>
      </c>
      <c r="C13">
        <v>107</v>
      </c>
      <c r="D13" s="255">
        <f t="shared" si="0"/>
        <v>88.117647058823522</v>
      </c>
    </row>
    <row r="14" spans="1:6" x14ac:dyDescent="0.25">
      <c r="A14" t="s">
        <v>1891</v>
      </c>
      <c r="C14">
        <v>29</v>
      </c>
      <c r="D14" s="255">
        <f t="shared" si="0"/>
        <v>23.882352941176471</v>
      </c>
    </row>
    <row r="15" spans="1:6" x14ac:dyDescent="0.25">
      <c r="A15" t="s">
        <v>1892</v>
      </c>
      <c r="C15">
        <v>0</v>
      </c>
      <c r="D15" s="255">
        <f t="shared" si="0"/>
        <v>0</v>
      </c>
    </row>
    <row r="16" spans="1:6" x14ac:dyDescent="0.25">
      <c r="A16" t="s">
        <v>1893</v>
      </c>
      <c r="C16">
        <v>145</v>
      </c>
      <c r="D16" s="255">
        <f t="shared" si="0"/>
        <v>119.41176470588235</v>
      </c>
    </row>
    <row r="17" spans="1:4" x14ac:dyDescent="0.25">
      <c r="A17" t="s">
        <v>1894</v>
      </c>
      <c r="C17">
        <v>55</v>
      </c>
      <c r="D17" s="255">
        <f t="shared" si="0"/>
        <v>45.294117647058819</v>
      </c>
    </row>
    <row r="18" spans="1:4" x14ac:dyDescent="0.25">
      <c r="C18">
        <f>SUM(C2:C17)</f>
        <v>1700</v>
      </c>
      <c r="D18" s="255">
        <f>SUM(D2:D17)</f>
        <v>1400</v>
      </c>
    </row>
    <row r="19" spans="1:4" x14ac:dyDescent="0.25">
      <c r="C19">
        <f>C20/C18</f>
        <v>0.82352941176470584</v>
      </c>
    </row>
    <row r="20" spans="1:4" x14ac:dyDescent="0.25">
      <c r="C20">
        <v>1400</v>
      </c>
    </row>
    <row r="22" spans="1:4" x14ac:dyDescent="0.25">
      <c r="A22" t="s">
        <v>1863</v>
      </c>
      <c r="C22">
        <v>36</v>
      </c>
      <c r="D22" s="255">
        <f t="shared" ref="D22:D37" si="1">C22*C$39</f>
        <v>40.862656072644718</v>
      </c>
    </row>
    <row r="23" spans="1:4" x14ac:dyDescent="0.25">
      <c r="A23" t="s">
        <v>1864</v>
      </c>
      <c r="C23">
        <v>45</v>
      </c>
      <c r="D23" s="255">
        <f t="shared" si="1"/>
        <v>51.078320090805903</v>
      </c>
    </row>
    <row r="24" spans="1:4" x14ac:dyDescent="0.25">
      <c r="A24" t="s">
        <v>1865</v>
      </c>
      <c r="C24">
        <v>193</v>
      </c>
      <c r="D24" s="255">
        <f t="shared" si="1"/>
        <v>219.06923950056753</v>
      </c>
    </row>
    <row r="25" spans="1:4" x14ac:dyDescent="0.25">
      <c r="A25" t="s">
        <v>1866</v>
      </c>
      <c r="C25">
        <v>0</v>
      </c>
      <c r="D25" s="255">
        <f t="shared" si="1"/>
        <v>0</v>
      </c>
    </row>
    <row r="26" spans="1:4" x14ac:dyDescent="0.25">
      <c r="A26" t="s">
        <v>1867</v>
      </c>
      <c r="C26">
        <v>75</v>
      </c>
      <c r="D26" s="255">
        <f t="shared" si="1"/>
        <v>85.130533484676505</v>
      </c>
    </row>
    <row r="27" spans="1:4" x14ac:dyDescent="0.25">
      <c r="A27" t="s">
        <v>1868</v>
      </c>
      <c r="C27">
        <v>8</v>
      </c>
      <c r="D27" s="255">
        <f t="shared" si="1"/>
        <v>9.0805902383654935</v>
      </c>
    </row>
    <row r="28" spans="1:4" x14ac:dyDescent="0.25">
      <c r="A28" t="s">
        <v>1869</v>
      </c>
      <c r="C28">
        <v>5</v>
      </c>
      <c r="D28" s="255">
        <f t="shared" si="1"/>
        <v>5.6753688989784337</v>
      </c>
    </row>
    <row r="29" spans="1:4" x14ac:dyDescent="0.25">
      <c r="A29" t="s">
        <v>1870</v>
      </c>
      <c r="C29">
        <v>78</v>
      </c>
      <c r="D29" s="255">
        <f t="shared" si="1"/>
        <v>88.535754824063559</v>
      </c>
    </row>
    <row r="30" spans="1:4" x14ac:dyDescent="0.25">
      <c r="A30" t="s">
        <v>1871</v>
      </c>
      <c r="C30">
        <v>171</v>
      </c>
      <c r="D30" s="255">
        <f t="shared" si="1"/>
        <v>194.09761634506242</v>
      </c>
    </row>
    <row r="31" spans="1:4" x14ac:dyDescent="0.25">
      <c r="A31" t="s">
        <v>1872</v>
      </c>
      <c r="C31">
        <v>4</v>
      </c>
      <c r="D31" s="255">
        <f t="shared" si="1"/>
        <v>4.5402951191827468</v>
      </c>
    </row>
    <row r="32" spans="1:4" x14ac:dyDescent="0.25">
      <c r="A32" t="s">
        <v>1873</v>
      </c>
      <c r="C32">
        <v>108</v>
      </c>
      <c r="D32" s="255">
        <f t="shared" si="1"/>
        <v>122.58796821793416</v>
      </c>
    </row>
    <row r="33" spans="1:4" x14ac:dyDescent="0.25">
      <c r="A33" t="s">
        <v>1874</v>
      </c>
      <c r="C33">
        <v>4</v>
      </c>
      <c r="D33" s="255">
        <f t="shared" si="1"/>
        <v>4.5402951191827468</v>
      </c>
    </row>
    <row r="34" spans="1:4" x14ac:dyDescent="0.25">
      <c r="A34" t="s">
        <v>1875</v>
      </c>
      <c r="C34">
        <v>44</v>
      </c>
      <c r="D34" s="255">
        <f t="shared" si="1"/>
        <v>49.943246311010213</v>
      </c>
    </row>
    <row r="35" spans="1:4" x14ac:dyDescent="0.25">
      <c r="A35" t="s">
        <v>1876</v>
      </c>
      <c r="C35">
        <v>110</v>
      </c>
      <c r="D35" s="255">
        <f t="shared" si="1"/>
        <v>124.85811577752554</v>
      </c>
    </row>
    <row r="36" spans="1:4" x14ac:dyDescent="0.25">
      <c r="A36" t="s">
        <v>1877</v>
      </c>
      <c r="D36" s="255">
        <f t="shared" si="1"/>
        <v>0</v>
      </c>
    </row>
    <row r="37" spans="1:4" x14ac:dyDescent="0.25">
      <c r="A37" t="s">
        <v>1878</v>
      </c>
      <c r="D37" s="255">
        <f t="shared" si="1"/>
        <v>0</v>
      </c>
    </row>
    <row r="38" spans="1:4" x14ac:dyDescent="0.25">
      <c r="C38">
        <f>SUM(C22:C37)</f>
        <v>881</v>
      </c>
      <c r="D38" s="255">
        <f>SUM(D22:D37)</f>
        <v>999.99999999999989</v>
      </c>
    </row>
    <row r="39" spans="1:4" x14ac:dyDescent="0.25">
      <c r="C39">
        <f>C40/C38</f>
        <v>1.1350737797956867</v>
      </c>
    </row>
    <row r="40" spans="1:4" x14ac:dyDescent="0.25">
      <c r="C40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8513-220C-47EE-8FD2-DA8C2C177DD6}">
  <dimension ref="A1:Q695"/>
  <sheetViews>
    <sheetView topLeftCell="A379" workbookViewId="0">
      <selection activeCell="E21" sqref="E21"/>
    </sheetView>
  </sheetViews>
  <sheetFormatPr defaultRowHeight="15" x14ac:dyDescent="0.25"/>
  <cols>
    <col min="2" max="2" width="41.28515625" customWidth="1"/>
    <col min="3" max="3" width="13.28515625" bestFit="1" customWidth="1"/>
    <col min="7" max="7" width="9.7109375" bestFit="1" customWidth="1"/>
  </cols>
  <sheetData>
    <row r="1" spans="1:17" ht="15.75" x14ac:dyDescent="0.25">
      <c r="A1" s="275" t="s">
        <v>1017</v>
      </c>
      <c r="B1" s="275"/>
      <c r="C1" s="275"/>
      <c r="D1" s="275"/>
      <c r="E1" s="275"/>
      <c r="F1" s="275"/>
      <c r="G1" s="180"/>
      <c r="I1" s="111">
        <v>1000</v>
      </c>
      <c r="J1" s="140" t="s">
        <v>304</v>
      </c>
      <c r="K1" s="140"/>
      <c r="L1" s="111">
        <v>2300</v>
      </c>
      <c r="M1" s="140" t="s">
        <v>305</v>
      </c>
      <c r="N1" s="140"/>
      <c r="O1" s="111"/>
      <c r="P1" s="140"/>
      <c r="Q1" s="141"/>
    </row>
    <row r="2" spans="1:17" x14ac:dyDescent="0.25">
      <c r="G2" s="179"/>
      <c r="I2" s="112">
        <v>1000</v>
      </c>
      <c r="J2" t="s">
        <v>306</v>
      </c>
      <c r="L2" s="112">
        <v>2500</v>
      </c>
      <c r="M2" t="s">
        <v>307</v>
      </c>
      <c r="O2" s="112"/>
      <c r="Q2" s="32"/>
    </row>
    <row r="3" spans="1:17" x14ac:dyDescent="0.25">
      <c r="A3" t="s">
        <v>1</v>
      </c>
      <c r="B3" s="272" t="str">
        <f>Summary!B3</f>
        <v>Bird Dog Group</v>
      </c>
      <c r="C3" s="272"/>
      <c r="E3" s="5" t="s">
        <v>9</v>
      </c>
      <c r="F3" s="6">
        <f>Summary!F3</f>
        <v>0</v>
      </c>
      <c r="G3" s="179"/>
      <c r="I3" s="112">
        <v>1400</v>
      </c>
      <c r="J3" t="s">
        <v>308</v>
      </c>
      <c r="L3" s="112">
        <v>2800</v>
      </c>
      <c r="M3" t="s">
        <v>309</v>
      </c>
      <c r="O3" s="112"/>
      <c r="Q3" s="32"/>
    </row>
    <row r="4" spans="1:17" x14ac:dyDescent="0.25">
      <c r="A4" t="s">
        <v>2</v>
      </c>
      <c r="B4" s="272">
        <f>Summary!B4</f>
        <v>0</v>
      </c>
      <c r="C4" s="272"/>
      <c r="E4" s="5" t="s">
        <v>10</v>
      </c>
      <c r="F4" s="6">
        <f>Summary!F4</f>
        <v>0</v>
      </c>
      <c r="G4" s="179"/>
      <c r="I4" s="112">
        <v>1500</v>
      </c>
      <c r="J4" t="s">
        <v>310</v>
      </c>
      <c r="L4" s="112">
        <v>3000</v>
      </c>
      <c r="M4" t="s">
        <v>311</v>
      </c>
      <c r="O4" s="112"/>
      <c r="Q4" s="32"/>
    </row>
    <row r="5" spans="1:17" x14ac:dyDescent="0.25">
      <c r="A5" t="s">
        <v>3</v>
      </c>
      <c r="B5" s="272">
        <f>Summary!B5</f>
        <v>0</v>
      </c>
      <c r="C5" s="272"/>
      <c r="G5" s="179"/>
      <c r="I5" s="112">
        <v>2000</v>
      </c>
      <c r="J5" t="s">
        <v>312</v>
      </c>
      <c r="L5" s="112">
        <v>4000</v>
      </c>
      <c r="M5" t="s">
        <v>32</v>
      </c>
      <c r="O5" s="112"/>
      <c r="Q5" s="32"/>
    </row>
    <row r="6" spans="1:17" x14ac:dyDescent="0.25">
      <c r="A6" t="s">
        <v>4</v>
      </c>
      <c r="B6" s="272" t="str">
        <f>Summary!B6</f>
        <v>Ebert</v>
      </c>
      <c r="C6" s="272"/>
      <c r="G6" s="179"/>
      <c r="I6" s="112">
        <v>2100</v>
      </c>
      <c r="J6" t="s">
        <v>313</v>
      </c>
      <c r="L6" s="112">
        <v>5000</v>
      </c>
      <c r="M6" t="s">
        <v>314</v>
      </c>
      <c r="O6" s="112"/>
      <c r="Q6" s="32"/>
    </row>
    <row r="7" spans="1:17" ht="15.75" thickBot="1" x14ac:dyDescent="0.3">
      <c r="A7" t="s">
        <v>5</v>
      </c>
      <c r="B7" s="272" t="str">
        <f>Summary!B7</f>
        <v>2440 Beretania Circle</v>
      </c>
      <c r="C7" s="272"/>
      <c r="G7" s="179"/>
      <c r="I7" s="48">
        <v>2200</v>
      </c>
      <c r="J7" s="22" t="s">
        <v>315</v>
      </c>
      <c r="K7" s="33"/>
      <c r="L7" s="48">
        <v>6000</v>
      </c>
      <c r="M7" s="22" t="s">
        <v>316</v>
      </c>
      <c r="N7" s="33"/>
      <c r="O7" s="48">
        <v>7000</v>
      </c>
      <c r="P7" s="22" t="s">
        <v>317</v>
      </c>
      <c r="Q7" s="33"/>
    </row>
    <row r="8" spans="1:17" x14ac:dyDescent="0.25">
      <c r="A8" t="s">
        <v>6</v>
      </c>
      <c r="B8" s="272" t="str">
        <f>Summary!B8</f>
        <v xml:space="preserve">Charlotte, NC </v>
      </c>
      <c r="C8" s="272"/>
      <c r="G8" s="179"/>
    </row>
    <row r="9" spans="1:17" ht="15.75" x14ac:dyDescent="0.25">
      <c r="A9" s="178"/>
      <c r="B9" s="180"/>
      <c r="C9" s="180"/>
      <c r="D9" s="179"/>
      <c r="E9" s="179"/>
      <c r="F9" s="179"/>
      <c r="G9" s="179"/>
    </row>
    <row r="10" spans="1:17" x14ac:dyDescent="0.25">
      <c r="A10" s="186" t="s">
        <v>318</v>
      </c>
      <c r="B10" s="181" t="s">
        <v>596</v>
      </c>
      <c r="C10" s="181" t="s">
        <v>888</v>
      </c>
      <c r="D10" s="181" t="s">
        <v>597</v>
      </c>
      <c r="E10" s="181" t="s">
        <v>598</v>
      </c>
      <c r="F10" s="185" t="s">
        <v>599</v>
      </c>
      <c r="G10" s="181" t="s">
        <v>112</v>
      </c>
    </row>
    <row r="11" spans="1:17" x14ac:dyDescent="0.25">
      <c r="A11" s="181">
        <v>10000</v>
      </c>
      <c r="B11" s="181" t="s">
        <v>374</v>
      </c>
      <c r="C11" s="181"/>
      <c r="D11" s="181"/>
      <c r="E11" s="183">
        <v>31.08</v>
      </c>
      <c r="F11" s="181" t="s">
        <v>319</v>
      </c>
      <c r="G11" s="184">
        <f>D11*E11</f>
        <v>0</v>
      </c>
    </row>
    <row r="12" spans="1:17" x14ac:dyDescent="0.25">
      <c r="A12" s="181">
        <v>10005</v>
      </c>
      <c r="B12" s="181" t="s">
        <v>845</v>
      </c>
      <c r="C12" s="181"/>
      <c r="D12" s="181"/>
      <c r="E12" s="183">
        <v>30</v>
      </c>
      <c r="F12" s="181" t="s">
        <v>319</v>
      </c>
      <c r="G12" s="184">
        <f t="shared" ref="G12:G75" si="0">D12*E12</f>
        <v>0</v>
      </c>
    </row>
    <row r="13" spans="1:17" x14ac:dyDescent="0.25">
      <c r="A13" s="181">
        <v>10010</v>
      </c>
      <c r="B13" s="181" t="s">
        <v>375</v>
      </c>
      <c r="C13" s="181"/>
      <c r="D13" s="181"/>
      <c r="E13" s="183">
        <v>62.16</v>
      </c>
      <c r="F13" s="181" t="s">
        <v>319</v>
      </c>
      <c r="G13" s="184">
        <f t="shared" si="0"/>
        <v>0</v>
      </c>
    </row>
    <row r="14" spans="1:17" x14ac:dyDescent="0.25">
      <c r="A14" s="181">
        <v>10020</v>
      </c>
      <c r="B14" s="181" t="s">
        <v>376</v>
      </c>
      <c r="C14" s="181"/>
      <c r="D14" s="181">
        <v>1</v>
      </c>
      <c r="E14" s="181">
        <v>33.46</v>
      </c>
      <c r="F14" s="181" t="s">
        <v>319</v>
      </c>
      <c r="G14" s="184">
        <f t="shared" si="0"/>
        <v>33.46</v>
      </c>
    </row>
    <row r="15" spans="1:17" x14ac:dyDescent="0.25">
      <c r="A15" s="181">
        <v>10025</v>
      </c>
      <c r="B15" s="181" t="s">
        <v>846</v>
      </c>
      <c r="C15" s="181"/>
      <c r="D15" s="181">
        <v>1</v>
      </c>
      <c r="E15" s="183">
        <v>32</v>
      </c>
      <c r="F15" s="181" t="s">
        <v>319</v>
      </c>
      <c r="G15" s="184">
        <f t="shared" si="0"/>
        <v>32</v>
      </c>
    </row>
    <row r="16" spans="1:17" x14ac:dyDescent="0.25">
      <c r="A16" s="181">
        <v>10030</v>
      </c>
      <c r="B16" s="181" t="s">
        <v>377</v>
      </c>
      <c r="C16" s="181"/>
      <c r="D16" s="181"/>
      <c r="E16" s="183">
        <v>62.58</v>
      </c>
      <c r="F16" s="181" t="s">
        <v>319</v>
      </c>
      <c r="G16" s="184">
        <f t="shared" si="0"/>
        <v>0</v>
      </c>
    </row>
    <row r="17" spans="1:7" x14ac:dyDescent="0.25">
      <c r="A17" s="181">
        <v>10040</v>
      </c>
      <c r="B17" s="181" t="s">
        <v>378</v>
      </c>
      <c r="C17" s="181"/>
      <c r="D17" s="181"/>
      <c r="E17" s="181">
        <v>35.270000000000003</v>
      </c>
      <c r="F17" s="181" t="s">
        <v>319</v>
      </c>
      <c r="G17" s="184">
        <f t="shared" si="0"/>
        <v>0</v>
      </c>
    </row>
    <row r="18" spans="1:7" x14ac:dyDescent="0.25">
      <c r="A18" s="181">
        <v>10045</v>
      </c>
      <c r="B18" s="181" t="s">
        <v>849</v>
      </c>
      <c r="C18" s="181"/>
      <c r="D18" s="181"/>
      <c r="E18" s="183">
        <v>34</v>
      </c>
      <c r="F18" s="181" t="s">
        <v>319</v>
      </c>
      <c r="G18" s="184">
        <f t="shared" si="0"/>
        <v>0</v>
      </c>
    </row>
    <row r="19" spans="1:7" x14ac:dyDescent="0.25">
      <c r="A19" s="181">
        <v>10050</v>
      </c>
      <c r="B19" s="181" t="s">
        <v>379</v>
      </c>
      <c r="C19" s="181"/>
      <c r="D19" s="181"/>
      <c r="E19" s="183">
        <v>70.47</v>
      </c>
      <c r="F19" s="181" t="s">
        <v>319</v>
      </c>
      <c r="G19" s="184">
        <f t="shared" si="0"/>
        <v>0</v>
      </c>
    </row>
    <row r="20" spans="1:7" x14ac:dyDescent="0.25">
      <c r="A20" s="181">
        <v>10060</v>
      </c>
      <c r="B20" s="181" t="s">
        <v>850</v>
      </c>
      <c r="C20" s="181"/>
      <c r="D20" s="181"/>
      <c r="E20" s="183">
        <v>42.34</v>
      </c>
      <c r="F20" s="181" t="s">
        <v>319</v>
      </c>
      <c r="G20" s="184">
        <f t="shared" si="0"/>
        <v>0</v>
      </c>
    </row>
    <row r="21" spans="1:7" x14ac:dyDescent="0.25">
      <c r="A21" s="181">
        <v>10065</v>
      </c>
      <c r="B21" s="181" t="s">
        <v>851</v>
      </c>
      <c r="C21" s="181"/>
      <c r="D21" s="181"/>
      <c r="E21" s="183">
        <v>40</v>
      </c>
      <c r="F21" s="181" t="s">
        <v>319</v>
      </c>
      <c r="G21" s="184">
        <f t="shared" si="0"/>
        <v>0</v>
      </c>
    </row>
    <row r="22" spans="1:7" x14ac:dyDescent="0.25">
      <c r="A22" s="181">
        <v>10070</v>
      </c>
      <c r="B22" s="181" t="s">
        <v>852</v>
      </c>
      <c r="C22" s="181"/>
      <c r="D22" s="181"/>
      <c r="E22" s="183">
        <v>74.7</v>
      </c>
      <c r="F22" s="181" t="s">
        <v>319</v>
      </c>
      <c r="G22" s="184">
        <f t="shared" si="0"/>
        <v>0</v>
      </c>
    </row>
    <row r="23" spans="1:7" x14ac:dyDescent="0.25">
      <c r="A23" s="181">
        <v>10075</v>
      </c>
      <c r="B23" s="181" t="s">
        <v>600</v>
      </c>
      <c r="C23" s="181"/>
      <c r="D23" s="181"/>
      <c r="E23" s="183">
        <v>65</v>
      </c>
      <c r="F23" s="181" t="s">
        <v>319</v>
      </c>
      <c r="G23" s="184">
        <f t="shared" si="0"/>
        <v>0</v>
      </c>
    </row>
    <row r="24" spans="1:7" x14ac:dyDescent="0.25">
      <c r="A24" s="181">
        <v>10090</v>
      </c>
      <c r="B24" s="181" t="s">
        <v>380</v>
      </c>
      <c r="C24" s="181"/>
      <c r="D24" s="183">
        <v>2</v>
      </c>
      <c r="E24" s="183">
        <v>43.79</v>
      </c>
      <c r="F24" s="181" t="s">
        <v>319</v>
      </c>
      <c r="G24" s="184">
        <f t="shared" si="0"/>
        <v>87.58</v>
      </c>
    </row>
    <row r="25" spans="1:7" x14ac:dyDescent="0.25">
      <c r="A25" s="181">
        <v>10100</v>
      </c>
      <c r="B25" s="181" t="s">
        <v>847</v>
      </c>
      <c r="C25" s="181"/>
      <c r="D25" s="181"/>
      <c r="E25" s="183">
        <v>12.04</v>
      </c>
      <c r="F25" s="181" t="s">
        <v>319</v>
      </c>
      <c r="G25" s="184">
        <f t="shared" si="0"/>
        <v>0</v>
      </c>
    </row>
    <row r="26" spans="1:7" x14ac:dyDescent="0.25">
      <c r="A26" s="181">
        <v>10110</v>
      </c>
      <c r="B26" s="181" t="s">
        <v>848</v>
      </c>
      <c r="C26" s="181"/>
      <c r="D26" s="181"/>
      <c r="E26" s="183">
        <v>14.57</v>
      </c>
      <c r="F26" s="181" t="s">
        <v>319</v>
      </c>
      <c r="G26" s="184">
        <f t="shared" si="0"/>
        <v>0</v>
      </c>
    </row>
    <row r="27" spans="1:7" x14ac:dyDescent="0.25">
      <c r="A27" s="181">
        <v>10112</v>
      </c>
      <c r="B27" s="181" t="s">
        <v>853</v>
      </c>
      <c r="C27" s="181"/>
      <c r="D27" s="181"/>
      <c r="E27" s="183">
        <v>15.26</v>
      </c>
      <c r="F27" s="181" t="s">
        <v>319</v>
      </c>
      <c r="G27" s="184">
        <f t="shared" si="0"/>
        <v>0</v>
      </c>
    </row>
    <row r="28" spans="1:7" x14ac:dyDescent="0.25">
      <c r="A28" s="181">
        <v>10117</v>
      </c>
      <c r="B28" s="181" t="s">
        <v>854</v>
      </c>
      <c r="C28" s="181"/>
      <c r="D28" s="181"/>
      <c r="E28" s="183">
        <v>17.7</v>
      </c>
      <c r="F28" s="181" t="s">
        <v>319</v>
      </c>
      <c r="G28" s="184">
        <f t="shared" si="0"/>
        <v>0</v>
      </c>
    </row>
    <row r="29" spans="1:7" x14ac:dyDescent="0.25">
      <c r="A29" s="181">
        <v>10120</v>
      </c>
      <c r="B29" s="181" t="s">
        <v>855</v>
      </c>
      <c r="C29" s="181"/>
      <c r="D29" s="183">
        <v>1</v>
      </c>
      <c r="E29" s="183">
        <v>18.95</v>
      </c>
      <c r="F29" s="181" t="s">
        <v>319</v>
      </c>
      <c r="G29" s="184">
        <f t="shared" si="0"/>
        <v>18.95</v>
      </c>
    </row>
    <row r="30" spans="1:7" x14ac:dyDescent="0.25">
      <c r="A30" s="181">
        <v>10130</v>
      </c>
      <c r="B30" s="181" t="s">
        <v>856</v>
      </c>
      <c r="C30" s="181"/>
      <c r="D30" s="181"/>
      <c r="E30" s="183">
        <v>19.559999999999999</v>
      </c>
      <c r="F30" s="181" t="s">
        <v>319</v>
      </c>
      <c r="G30" s="184">
        <f t="shared" si="0"/>
        <v>0</v>
      </c>
    </row>
    <row r="31" spans="1:7" x14ac:dyDescent="0.25">
      <c r="A31" s="181">
        <v>10140</v>
      </c>
      <c r="B31" s="181" t="s">
        <v>857</v>
      </c>
      <c r="C31" s="181"/>
      <c r="D31" s="181"/>
      <c r="E31" s="183">
        <v>19.920000000000002</v>
      </c>
      <c r="F31" s="181" t="s">
        <v>319</v>
      </c>
      <c r="G31" s="184">
        <f t="shared" si="0"/>
        <v>0</v>
      </c>
    </row>
    <row r="32" spans="1:7" x14ac:dyDescent="0.25">
      <c r="A32" s="181">
        <v>10150</v>
      </c>
      <c r="B32" s="181" t="s">
        <v>858</v>
      </c>
      <c r="C32" s="181"/>
      <c r="D32" s="181"/>
      <c r="E32" s="183">
        <v>24.62</v>
      </c>
      <c r="F32" s="181" t="s">
        <v>319</v>
      </c>
      <c r="G32" s="184">
        <f t="shared" si="0"/>
        <v>0</v>
      </c>
    </row>
    <row r="33" spans="1:7" x14ac:dyDescent="0.25">
      <c r="A33" s="181">
        <v>10160</v>
      </c>
      <c r="B33" s="181" t="s">
        <v>859</v>
      </c>
      <c r="C33" s="181"/>
      <c r="D33" s="181"/>
      <c r="E33" s="183">
        <v>29.73</v>
      </c>
      <c r="F33" s="181" t="s">
        <v>319</v>
      </c>
      <c r="G33" s="184">
        <f t="shared" si="0"/>
        <v>0</v>
      </c>
    </row>
    <row r="34" spans="1:7" x14ac:dyDescent="0.25">
      <c r="A34" s="187"/>
      <c r="B34" s="187" t="s">
        <v>843</v>
      </c>
      <c r="C34" s="187"/>
      <c r="D34" s="6"/>
      <c r="E34" s="187">
        <v>29.07</v>
      </c>
      <c r="F34" s="187" t="s">
        <v>319</v>
      </c>
      <c r="G34" s="184">
        <f t="shared" si="0"/>
        <v>0</v>
      </c>
    </row>
    <row r="35" spans="1:7" x14ac:dyDescent="0.25">
      <c r="A35" s="181">
        <v>10170</v>
      </c>
      <c r="B35" s="181" t="s">
        <v>860</v>
      </c>
      <c r="C35" s="181"/>
      <c r="D35" s="183">
        <v>1</v>
      </c>
      <c r="E35" s="183">
        <v>32.9</v>
      </c>
      <c r="F35" s="181" t="s">
        <v>319</v>
      </c>
      <c r="G35" s="184">
        <f t="shared" si="0"/>
        <v>32.9</v>
      </c>
    </row>
    <row r="36" spans="1:7" x14ac:dyDescent="0.25">
      <c r="A36" s="181">
        <v>10180</v>
      </c>
      <c r="B36" s="181" t="s">
        <v>861</v>
      </c>
      <c r="C36" s="181"/>
      <c r="D36" s="181"/>
      <c r="E36" s="183">
        <v>41.22</v>
      </c>
      <c r="F36" s="181" t="s">
        <v>319</v>
      </c>
      <c r="G36" s="184">
        <f t="shared" si="0"/>
        <v>0</v>
      </c>
    </row>
    <row r="37" spans="1:7" x14ac:dyDescent="0.25">
      <c r="A37" s="181">
        <v>10190</v>
      </c>
      <c r="B37" s="181" t="s">
        <v>862</v>
      </c>
      <c r="C37" s="181"/>
      <c r="D37" s="181"/>
      <c r="E37" s="183">
        <v>35.270000000000003</v>
      </c>
      <c r="F37" s="181" t="s">
        <v>319</v>
      </c>
      <c r="G37" s="184">
        <f t="shared" si="0"/>
        <v>0</v>
      </c>
    </row>
    <row r="38" spans="1:7" x14ac:dyDescent="0.25">
      <c r="A38" s="181">
        <v>10200</v>
      </c>
      <c r="B38" s="181" t="s">
        <v>863</v>
      </c>
      <c r="C38" s="181"/>
      <c r="D38" s="181"/>
      <c r="E38" s="183">
        <v>53.94</v>
      </c>
      <c r="F38" s="181" t="s">
        <v>319</v>
      </c>
      <c r="G38" s="184">
        <f t="shared" si="0"/>
        <v>0</v>
      </c>
    </row>
    <row r="39" spans="1:7" x14ac:dyDescent="0.25">
      <c r="A39" s="181">
        <v>10210</v>
      </c>
      <c r="B39" s="181" t="s">
        <v>864</v>
      </c>
      <c r="C39" s="181"/>
      <c r="D39" s="181"/>
      <c r="E39" s="183">
        <v>43.13</v>
      </c>
      <c r="F39" s="181" t="s">
        <v>319</v>
      </c>
      <c r="G39" s="184">
        <f t="shared" si="0"/>
        <v>0</v>
      </c>
    </row>
    <row r="40" spans="1:7" x14ac:dyDescent="0.25">
      <c r="A40" s="181">
        <v>10220</v>
      </c>
      <c r="B40" s="181" t="s">
        <v>865</v>
      </c>
      <c r="C40" s="181"/>
      <c r="D40" s="181"/>
      <c r="E40" s="183">
        <v>49.7</v>
      </c>
      <c r="F40" s="181" t="s">
        <v>319</v>
      </c>
      <c r="G40" s="184">
        <f t="shared" si="0"/>
        <v>0</v>
      </c>
    </row>
    <row r="41" spans="1:7" x14ac:dyDescent="0.25">
      <c r="A41" s="181">
        <v>11000</v>
      </c>
      <c r="B41" s="181" t="s">
        <v>370</v>
      </c>
      <c r="C41" s="181"/>
      <c r="D41" s="182"/>
      <c r="E41" s="183">
        <v>40.619999999999997</v>
      </c>
      <c r="F41" s="181" t="s">
        <v>319</v>
      </c>
      <c r="G41" s="184">
        <f t="shared" si="0"/>
        <v>0</v>
      </c>
    </row>
    <row r="42" spans="1:7" x14ac:dyDescent="0.25">
      <c r="A42" s="181">
        <v>11010</v>
      </c>
      <c r="B42" s="181" t="s">
        <v>371</v>
      </c>
      <c r="C42" s="181"/>
      <c r="D42" s="182"/>
      <c r="E42" s="183">
        <v>47.33</v>
      </c>
      <c r="F42" s="181" t="s">
        <v>319</v>
      </c>
      <c r="G42" s="184">
        <f t="shared" si="0"/>
        <v>0</v>
      </c>
    </row>
    <row r="43" spans="1:7" x14ac:dyDescent="0.25">
      <c r="A43" s="181">
        <v>11020</v>
      </c>
      <c r="B43" s="181" t="s">
        <v>372</v>
      </c>
      <c r="C43" s="181"/>
      <c r="D43" s="182"/>
      <c r="E43" s="183">
        <v>54.05</v>
      </c>
      <c r="F43" s="181" t="s">
        <v>319</v>
      </c>
      <c r="G43" s="184">
        <f t="shared" si="0"/>
        <v>0</v>
      </c>
    </row>
    <row r="44" spans="1:7" x14ac:dyDescent="0.25">
      <c r="A44" s="187">
        <v>11024</v>
      </c>
      <c r="B44" s="187" t="s">
        <v>601</v>
      </c>
      <c r="C44" s="187"/>
      <c r="D44" s="188"/>
      <c r="E44" s="189">
        <v>0</v>
      </c>
      <c r="F44" s="187" t="s">
        <v>319</v>
      </c>
      <c r="G44" s="184">
        <f t="shared" si="0"/>
        <v>0</v>
      </c>
    </row>
    <row r="45" spans="1:7" x14ac:dyDescent="0.25">
      <c r="A45" s="187">
        <v>11030</v>
      </c>
      <c r="B45" s="187" t="s">
        <v>373</v>
      </c>
      <c r="C45" s="187"/>
      <c r="D45" s="188"/>
      <c r="E45" s="189">
        <v>79.81</v>
      </c>
      <c r="F45" s="187" t="s">
        <v>319</v>
      </c>
      <c r="G45" s="184">
        <f t="shared" si="0"/>
        <v>0</v>
      </c>
    </row>
    <row r="46" spans="1:7" x14ac:dyDescent="0.25">
      <c r="A46" s="187">
        <v>11040</v>
      </c>
      <c r="B46" s="187" t="s">
        <v>866</v>
      </c>
      <c r="C46" s="187"/>
      <c r="D46" s="190">
        <v>1</v>
      </c>
      <c r="E46" s="189">
        <v>3</v>
      </c>
      <c r="F46" s="187" t="s">
        <v>319</v>
      </c>
      <c r="G46" s="184">
        <f t="shared" si="0"/>
        <v>3</v>
      </c>
    </row>
    <row r="47" spans="1:7" x14ac:dyDescent="0.25">
      <c r="A47" s="187">
        <v>11050</v>
      </c>
      <c r="B47" s="187" t="s">
        <v>867</v>
      </c>
      <c r="C47" s="187"/>
      <c r="D47" s="188"/>
      <c r="E47" s="189">
        <v>7</v>
      </c>
      <c r="F47" s="187" t="s">
        <v>319</v>
      </c>
      <c r="G47" s="184">
        <f t="shared" si="0"/>
        <v>0</v>
      </c>
    </row>
    <row r="48" spans="1:7" x14ac:dyDescent="0.25">
      <c r="A48" s="187">
        <v>11060</v>
      </c>
      <c r="B48" s="187" t="s">
        <v>602</v>
      </c>
      <c r="C48" s="187"/>
      <c r="D48" s="188"/>
      <c r="E48" s="189">
        <v>2.75</v>
      </c>
      <c r="F48" s="187" t="s">
        <v>319</v>
      </c>
      <c r="G48" s="184">
        <f t="shared" si="0"/>
        <v>0</v>
      </c>
    </row>
    <row r="49" spans="1:7" x14ac:dyDescent="0.25">
      <c r="A49" s="187">
        <v>11061</v>
      </c>
      <c r="B49" s="187" t="s">
        <v>603</v>
      </c>
      <c r="C49" s="187"/>
      <c r="D49" s="188"/>
      <c r="E49" s="189">
        <v>9</v>
      </c>
      <c r="F49" s="187" t="s">
        <v>319</v>
      </c>
      <c r="G49" s="184">
        <f t="shared" si="0"/>
        <v>0</v>
      </c>
    </row>
    <row r="50" spans="1:7" x14ac:dyDescent="0.25">
      <c r="A50" s="187">
        <v>11063</v>
      </c>
      <c r="B50" s="187" t="s">
        <v>604</v>
      </c>
      <c r="C50" s="187"/>
      <c r="D50" s="188"/>
      <c r="E50" s="189">
        <v>35.75</v>
      </c>
      <c r="F50" s="187" t="s">
        <v>319</v>
      </c>
      <c r="G50" s="184">
        <f t="shared" si="0"/>
        <v>0</v>
      </c>
    </row>
    <row r="51" spans="1:7" x14ac:dyDescent="0.25">
      <c r="A51" s="187">
        <v>11065</v>
      </c>
      <c r="B51" s="187" t="s">
        <v>605</v>
      </c>
      <c r="C51" s="187"/>
      <c r="D51" s="188"/>
      <c r="E51" s="189">
        <v>36.380000000000003</v>
      </c>
      <c r="F51" s="187" t="s">
        <v>319</v>
      </c>
      <c r="G51" s="184">
        <f t="shared" si="0"/>
        <v>0</v>
      </c>
    </row>
    <row r="52" spans="1:7" x14ac:dyDescent="0.25">
      <c r="A52" s="187">
        <v>11070</v>
      </c>
      <c r="B52" s="187" t="s">
        <v>366</v>
      </c>
      <c r="C52" s="188"/>
      <c r="D52" s="188"/>
      <c r="E52" s="189">
        <v>34.78</v>
      </c>
      <c r="F52" s="187" t="s">
        <v>319</v>
      </c>
      <c r="G52" s="184">
        <f t="shared" si="0"/>
        <v>0</v>
      </c>
    </row>
    <row r="53" spans="1:7" x14ac:dyDescent="0.25">
      <c r="A53" s="187">
        <v>11080</v>
      </c>
      <c r="B53" s="187" t="s">
        <v>367</v>
      </c>
      <c r="C53" s="188"/>
      <c r="D53" s="190">
        <v>1</v>
      </c>
      <c r="E53" s="189">
        <v>48.06</v>
      </c>
      <c r="F53" s="187" t="s">
        <v>319</v>
      </c>
      <c r="G53" s="184">
        <f t="shared" si="0"/>
        <v>48.06</v>
      </c>
    </row>
    <row r="54" spans="1:7" x14ac:dyDescent="0.25">
      <c r="A54" s="187">
        <v>11090</v>
      </c>
      <c r="B54" s="187" t="s">
        <v>368</v>
      </c>
      <c r="C54" s="188"/>
      <c r="D54" s="188"/>
      <c r="E54" s="189">
        <v>61.95</v>
      </c>
      <c r="F54" s="187" t="s">
        <v>319</v>
      </c>
      <c r="G54" s="184">
        <f t="shared" si="0"/>
        <v>0</v>
      </c>
    </row>
    <row r="55" spans="1:7" x14ac:dyDescent="0.25">
      <c r="A55" s="187">
        <v>11095</v>
      </c>
      <c r="B55" s="187" t="s">
        <v>606</v>
      </c>
      <c r="C55" s="188"/>
      <c r="D55" s="188"/>
      <c r="E55" s="189">
        <v>61.95</v>
      </c>
      <c r="F55" s="187" t="s">
        <v>319</v>
      </c>
      <c r="G55" s="184">
        <f t="shared" si="0"/>
        <v>0</v>
      </c>
    </row>
    <row r="56" spans="1:7" x14ac:dyDescent="0.25">
      <c r="A56" s="187">
        <v>11100</v>
      </c>
      <c r="B56" s="187" t="s">
        <v>369</v>
      </c>
      <c r="C56" s="188"/>
      <c r="D56" s="188"/>
      <c r="E56" s="189">
        <v>65.540000000000006</v>
      </c>
      <c r="F56" s="187" t="s">
        <v>319</v>
      </c>
      <c r="G56" s="184">
        <f t="shared" si="0"/>
        <v>0</v>
      </c>
    </row>
    <row r="57" spans="1:7" x14ac:dyDescent="0.25">
      <c r="A57" s="187">
        <v>12000</v>
      </c>
      <c r="B57" s="187" t="s">
        <v>608</v>
      </c>
      <c r="C57" s="187"/>
      <c r="D57" s="188"/>
      <c r="E57" s="189">
        <v>46.25</v>
      </c>
      <c r="F57" s="187" t="s">
        <v>319</v>
      </c>
      <c r="G57" s="184">
        <f t="shared" si="0"/>
        <v>0</v>
      </c>
    </row>
    <row r="58" spans="1:7" x14ac:dyDescent="0.25">
      <c r="A58" s="187">
        <v>12010</v>
      </c>
      <c r="B58" s="187" t="s">
        <v>381</v>
      </c>
      <c r="C58" s="187"/>
      <c r="D58" s="188"/>
      <c r="E58" s="189">
        <v>45.92</v>
      </c>
      <c r="F58" s="187" t="s">
        <v>319</v>
      </c>
      <c r="G58" s="184">
        <f t="shared" si="0"/>
        <v>0</v>
      </c>
    </row>
    <row r="59" spans="1:7" x14ac:dyDescent="0.25">
      <c r="A59" s="187">
        <v>12020</v>
      </c>
      <c r="B59" s="187" t="s">
        <v>382</v>
      </c>
      <c r="C59" s="187"/>
      <c r="D59" s="188"/>
      <c r="E59" s="189">
        <v>41.17</v>
      </c>
      <c r="F59" s="187" t="s">
        <v>319</v>
      </c>
      <c r="G59" s="184">
        <f t="shared" si="0"/>
        <v>0</v>
      </c>
    </row>
    <row r="60" spans="1:7" x14ac:dyDescent="0.25">
      <c r="A60" s="187">
        <v>13320</v>
      </c>
      <c r="B60" s="194" t="s">
        <v>908</v>
      </c>
      <c r="C60" s="188"/>
      <c r="D60" s="188"/>
      <c r="E60" s="195">
        <v>22</v>
      </c>
      <c r="F60" s="196" t="s">
        <v>319</v>
      </c>
      <c r="G60" s="184">
        <f t="shared" si="0"/>
        <v>0</v>
      </c>
    </row>
    <row r="61" spans="1:7" x14ac:dyDescent="0.25">
      <c r="A61" s="187">
        <v>13330</v>
      </c>
      <c r="B61" s="194" t="s">
        <v>647</v>
      </c>
      <c r="C61" s="188"/>
      <c r="D61" s="188"/>
      <c r="E61" s="195">
        <v>20.95</v>
      </c>
      <c r="F61" s="196" t="s">
        <v>319</v>
      </c>
      <c r="G61" s="184">
        <f t="shared" si="0"/>
        <v>0</v>
      </c>
    </row>
    <row r="62" spans="1:7" x14ac:dyDescent="0.25">
      <c r="A62" s="187">
        <v>13340</v>
      </c>
      <c r="B62" s="194" t="s">
        <v>364</v>
      </c>
      <c r="C62" s="188"/>
      <c r="D62" s="188"/>
      <c r="E62" s="197">
        <v>5.95</v>
      </c>
      <c r="F62" s="196" t="s">
        <v>319</v>
      </c>
      <c r="G62" s="184">
        <f t="shared" si="0"/>
        <v>0</v>
      </c>
    </row>
    <row r="63" spans="1:7" x14ac:dyDescent="0.25">
      <c r="A63" s="187">
        <v>13350</v>
      </c>
      <c r="B63" s="194" t="s">
        <v>365</v>
      </c>
      <c r="C63" s="190"/>
      <c r="D63" s="188">
        <v>2</v>
      </c>
      <c r="E63" s="197">
        <v>3.16</v>
      </c>
      <c r="F63" s="196" t="s">
        <v>319</v>
      </c>
      <c r="G63" s="184">
        <f t="shared" si="0"/>
        <v>6.32</v>
      </c>
    </row>
    <row r="64" spans="1:7" x14ac:dyDescent="0.25">
      <c r="A64" s="187">
        <v>13355</v>
      </c>
      <c r="B64" s="194" t="s">
        <v>648</v>
      </c>
      <c r="C64" s="188"/>
      <c r="D64" s="188"/>
      <c r="E64" s="198">
        <v>3.68</v>
      </c>
      <c r="F64" s="196" t="s">
        <v>319</v>
      </c>
      <c r="G64" s="184">
        <f t="shared" si="0"/>
        <v>0</v>
      </c>
    </row>
    <row r="65" spans="1:7" x14ac:dyDescent="0.25">
      <c r="A65" s="187">
        <v>20140</v>
      </c>
      <c r="B65" s="199" t="s">
        <v>437</v>
      </c>
      <c r="C65" s="188"/>
      <c r="D65" s="188"/>
      <c r="E65" s="196">
        <v>34.234200000000001</v>
      </c>
      <c r="F65" s="187" t="s">
        <v>319</v>
      </c>
      <c r="G65" s="184">
        <f t="shared" si="0"/>
        <v>0</v>
      </c>
    </row>
    <row r="66" spans="1:7" x14ac:dyDescent="0.25">
      <c r="A66" s="187">
        <v>20150</v>
      </c>
      <c r="B66" s="199" t="s">
        <v>438</v>
      </c>
      <c r="C66" s="188"/>
      <c r="D66" s="188"/>
      <c r="E66" s="189">
        <v>94.97</v>
      </c>
      <c r="F66" s="188" t="s">
        <v>319</v>
      </c>
      <c r="G66" s="184">
        <f t="shared" si="0"/>
        <v>0</v>
      </c>
    </row>
    <row r="67" spans="1:7" x14ac:dyDescent="0.25">
      <c r="A67" s="187">
        <v>12030</v>
      </c>
      <c r="B67" s="187" t="s">
        <v>320</v>
      </c>
      <c r="C67" s="187"/>
      <c r="D67" s="190">
        <v>1</v>
      </c>
      <c r="E67" s="189">
        <v>3.46</v>
      </c>
      <c r="F67" s="187" t="s">
        <v>319</v>
      </c>
      <c r="G67" s="184">
        <f t="shared" si="0"/>
        <v>3.46</v>
      </c>
    </row>
    <row r="68" spans="1:7" x14ac:dyDescent="0.25">
      <c r="A68" s="187">
        <v>12040</v>
      </c>
      <c r="B68" s="187" t="s">
        <v>321</v>
      </c>
      <c r="C68" s="187"/>
      <c r="D68" s="190">
        <v>1</v>
      </c>
      <c r="E68" s="189">
        <v>3.09</v>
      </c>
      <c r="F68" s="187" t="s">
        <v>319</v>
      </c>
      <c r="G68" s="184">
        <f t="shared" si="0"/>
        <v>3.09</v>
      </c>
    </row>
    <row r="69" spans="1:7" x14ac:dyDescent="0.25">
      <c r="A69" s="187">
        <v>12050</v>
      </c>
      <c r="B69" s="187" t="s">
        <v>322</v>
      </c>
      <c r="C69" s="187"/>
      <c r="D69" s="191">
        <v>1</v>
      </c>
      <c r="E69" s="189">
        <v>3.98</v>
      </c>
      <c r="F69" s="187" t="s">
        <v>319</v>
      </c>
      <c r="G69" s="184">
        <f t="shared" si="0"/>
        <v>3.98</v>
      </c>
    </row>
    <row r="70" spans="1:7" x14ac:dyDescent="0.25">
      <c r="A70" s="187">
        <v>12060</v>
      </c>
      <c r="B70" s="187" t="s">
        <v>323</v>
      </c>
      <c r="C70" s="187"/>
      <c r="D70" s="191">
        <v>1</v>
      </c>
      <c r="E70" s="189">
        <v>5.85</v>
      </c>
      <c r="F70" s="187" t="s">
        <v>319</v>
      </c>
      <c r="G70" s="184">
        <f t="shared" si="0"/>
        <v>5.85</v>
      </c>
    </row>
    <row r="71" spans="1:7" x14ac:dyDescent="0.25">
      <c r="A71" s="187">
        <v>12070</v>
      </c>
      <c r="B71" s="187" t="s">
        <v>324</v>
      </c>
      <c r="C71" s="187"/>
      <c r="D71" s="188"/>
      <c r="E71" s="189">
        <v>5.18</v>
      </c>
      <c r="F71" s="188"/>
      <c r="G71" s="184">
        <f t="shared" si="0"/>
        <v>0</v>
      </c>
    </row>
    <row r="72" spans="1:7" x14ac:dyDescent="0.25">
      <c r="A72" s="187">
        <v>12080</v>
      </c>
      <c r="B72" s="187" t="s">
        <v>868</v>
      </c>
      <c r="C72" s="187"/>
      <c r="D72" s="188"/>
      <c r="E72" s="189">
        <v>9.11</v>
      </c>
      <c r="F72" s="187" t="s">
        <v>319</v>
      </c>
      <c r="G72" s="184">
        <f t="shared" si="0"/>
        <v>0</v>
      </c>
    </row>
    <row r="73" spans="1:7" x14ac:dyDescent="0.25">
      <c r="A73" s="187">
        <v>12090</v>
      </c>
      <c r="B73" s="187" t="s">
        <v>325</v>
      </c>
      <c r="C73" s="187"/>
      <c r="D73" s="188"/>
      <c r="E73" s="189">
        <v>4.05</v>
      </c>
      <c r="F73" s="187" t="s">
        <v>319</v>
      </c>
      <c r="G73" s="184">
        <f t="shared" si="0"/>
        <v>0</v>
      </c>
    </row>
    <row r="74" spans="1:7" x14ac:dyDescent="0.25">
      <c r="A74" s="187">
        <v>12100</v>
      </c>
      <c r="B74" s="187" t="s">
        <v>326</v>
      </c>
      <c r="C74" s="187"/>
      <c r="D74" s="188"/>
      <c r="E74" s="189">
        <v>3.1</v>
      </c>
      <c r="F74" s="187" t="s">
        <v>319</v>
      </c>
      <c r="G74" s="184">
        <f t="shared" si="0"/>
        <v>0</v>
      </c>
    </row>
    <row r="75" spans="1:7" x14ac:dyDescent="0.25">
      <c r="A75" s="187">
        <v>12110</v>
      </c>
      <c r="B75" s="187" t="s">
        <v>327</v>
      </c>
      <c r="C75" s="187"/>
      <c r="D75" s="188"/>
      <c r="E75" s="189">
        <v>4.3099999999999996</v>
      </c>
      <c r="F75" s="192" t="s">
        <v>319</v>
      </c>
      <c r="G75" s="184">
        <f t="shared" si="0"/>
        <v>0</v>
      </c>
    </row>
    <row r="76" spans="1:7" x14ac:dyDescent="0.25">
      <c r="A76" s="187">
        <v>12120</v>
      </c>
      <c r="B76" s="187" t="s">
        <v>328</v>
      </c>
      <c r="C76" s="187"/>
      <c r="D76" s="190">
        <v>2</v>
      </c>
      <c r="E76" s="189">
        <v>6.95</v>
      </c>
      <c r="F76" s="187" t="s">
        <v>319</v>
      </c>
      <c r="G76" s="184">
        <f t="shared" ref="G76:G139" si="1">D76*E76</f>
        <v>13.9</v>
      </c>
    </row>
    <row r="77" spans="1:7" x14ac:dyDescent="0.25">
      <c r="A77" s="187">
        <v>12130</v>
      </c>
      <c r="B77" s="187" t="s">
        <v>329</v>
      </c>
      <c r="C77" s="187"/>
      <c r="D77" s="188"/>
      <c r="E77" s="189">
        <v>5.65</v>
      </c>
      <c r="F77" s="187" t="s">
        <v>319</v>
      </c>
      <c r="G77" s="184">
        <f t="shared" si="1"/>
        <v>0</v>
      </c>
    </row>
    <row r="78" spans="1:7" x14ac:dyDescent="0.25">
      <c r="A78" s="187">
        <v>12140</v>
      </c>
      <c r="B78" s="187" t="s">
        <v>609</v>
      </c>
      <c r="C78" s="187"/>
      <c r="D78" s="188"/>
      <c r="E78" s="189">
        <v>9.65</v>
      </c>
      <c r="F78" s="187" t="s">
        <v>319</v>
      </c>
      <c r="G78" s="184">
        <f t="shared" si="1"/>
        <v>0</v>
      </c>
    </row>
    <row r="79" spans="1:7" x14ac:dyDescent="0.25">
      <c r="A79" s="187">
        <v>12150</v>
      </c>
      <c r="B79" s="187" t="s">
        <v>330</v>
      </c>
      <c r="C79" s="187"/>
      <c r="D79" s="188"/>
      <c r="E79" s="189">
        <v>4.6500000000000004</v>
      </c>
      <c r="F79" s="187" t="s">
        <v>319</v>
      </c>
      <c r="G79" s="184">
        <f t="shared" si="1"/>
        <v>0</v>
      </c>
    </row>
    <row r="80" spans="1:7" x14ac:dyDescent="0.25">
      <c r="A80" s="187">
        <v>12160</v>
      </c>
      <c r="B80" s="187" t="s">
        <v>331</v>
      </c>
      <c r="C80" s="187"/>
      <c r="D80" s="191">
        <v>1</v>
      </c>
      <c r="E80" s="189">
        <v>4.09</v>
      </c>
      <c r="F80" s="187" t="s">
        <v>319</v>
      </c>
      <c r="G80" s="184">
        <f t="shared" si="1"/>
        <v>4.09</v>
      </c>
    </row>
    <row r="81" spans="1:7" x14ac:dyDescent="0.25">
      <c r="A81" s="187">
        <v>12170</v>
      </c>
      <c r="B81" s="187" t="s">
        <v>332</v>
      </c>
      <c r="C81" s="187"/>
      <c r="D81" s="188"/>
      <c r="E81" s="189">
        <v>5.32</v>
      </c>
      <c r="F81" s="187" t="s">
        <v>319</v>
      </c>
      <c r="G81" s="184">
        <f t="shared" si="1"/>
        <v>0</v>
      </c>
    </row>
    <row r="82" spans="1:7" x14ac:dyDescent="0.25">
      <c r="A82" s="187">
        <v>12180</v>
      </c>
      <c r="B82" s="187" t="s">
        <v>333</v>
      </c>
      <c r="C82" s="187"/>
      <c r="D82" s="188"/>
      <c r="E82" s="189">
        <v>6.89</v>
      </c>
      <c r="F82" s="187" t="s">
        <v>319</v>
      </c>
      <c r="G82" s="184">
        <f t="shared" si="1"/>
        <v>0</v>
      </c>
    </row>
    <row r="83" spans="1:7" x14ac:dyDescent="0.25">
      <c r="A83" s="187">
        <v>12190</v>
      </c>
      <c r="B83" s="187" t="s">
        <v>334</v>
      </c>
      <c r="C83" s="187"/>
      <c r="D83" s="188"/>
      <c r="E83" s="189">
        <v>7.4</v>
      </c>
      <c r="F83" s="187" t="s">
        <v>319</v>
      </c>
      <c r="G83" s="184">
        <f t="shared" si="1"/>
        <v>0</v>
      </c>
    </row>
    <row r="84" spans="1:7" x14ac:dyDescent="0.25">
      <c r="A84" s="187">
        <v>12200</v>
      </c>
      <c r="B84" s="187" t="s">
        <v>610</v>
      </c>
      <c r="C84" s="187"/>
      <c r="D84" s="188"/>
      <c r="E84" s="189">
        <v>7.51</v>
      </c>
      <c r="F84" s="187" t="s">
        <v>319</v>
      </c>
      <c r="G84" s="184">
        <f t="shared" si="1"/>
        <v>0</v>
      </c>
    </row>
    <row r="85" spans="1:7" x14ac:dyDescent="0.25">
      <c r="A85" s="187">
        <v>12210</v>
      </c>
      <c r="B85" s="187" t="s">
        <v>335</v>
      </c>
      <c r="C85" s="187"/>
      <c r="D85" s="190">
        <v>3</v>
      </c>
      <c r="E85" s="189">
        <v>3.32</v>
      </c>
      <c r="F85" s="187" t="s">
        <v>319</v>
      </c>
      <c r="G85" s="184">
        <f t="shared" si="1"/>
        <v>9.9599999999999991</v>
      </c>
    </row>
    <row r="86" spans="1:7" x14ac:dyDescent="0.25">
      <c r="A86" s="187">
        <v>12220</v>
      </c>
      <c r="B86" s="187" t="s">
        <v>336</v>
      </c>
      <c r="C86" s="187"/>
      <c r="D86" s="191">
        <v>1</v>
      </c>
      <c r="E86" s="189">
        <v>3.31</v>
      </c>
      <c r="F86" s="187" t="s">
        <v>319</v>
      </c>
      <c r="G86" s="184">
        <f t="shared" si="1"/>
        <v>3.31</v>
      </c>
    </row>
    <row r="87" spans="1:7" x14ac:dyDescent="0.25">
      <c r="A87" s="187">
        <v>12230</v>
      </c>
      <c r="B87" s="187" t="s">
        <v>337</v>
      </c>
      <c r="C87" s="187"/>
      <c r="D87" s="190">
        <v>3</v>
      </c>
      <c r="E87" s="189">
        <v>4.53</v>
      </c>
      <c r="F87" s="187" t="s">
        <v>319</v>
      </c>
      <c r="G87" s="184">
        <f t="shared" si="1"/>
        <v>13.59</v>
      </c>
    </row>
    <row r="88" spans="1:7" x14ac:dyDescent="0.25">
      <c r="A88" s="187">
        <v>12240</v>
      </c>
      <c r="B88" s="187" t="s">
        <v>338</v>
      </c>
      <c r="C88" s="187"/>
      <c r="D88" s="188"/>
      <c r="E88" s="189">
        <v>4.09</v>
      </c>
      <c r="F88" s="187" t="s">
        <v>319</v>
      </c>
      <c r="G88" s="184">
        <f t="shared" si="1"/>
        <v>0</v>
      </c>
    </row>
    <row r="89" spans="1:7" x14ac:dyDescent="0.25">
      <c r="A89" s="187">
        <v>12250</v>
      </c>
      <c r="B89" s="187" t="s">
        <v>339</v>
      </c>
      <c r="C89" s="187"/>
      <c r="D89" s="188"/>
      <c r="E89" s="189">
        <v>0.67</v>
      </c>
      <c r="F89" s="187" t="s">
        <v>319</v>
      </c>
      <c r="G89" s="184">
        <f t="shared" si="1"/>
        <v>0</v>
      </c>
    </row>
    <row r="90" spans="1:7" x14ac:dyDescent="0.25">
      <c r="A90" s="187">
        <v>12260</v>
      </c>
      <c r="B90" s="187" t="s">
        <v>870</v>
      </c>
      <c r="C90" s="187"/>
      <c r="D90" s="188"/>
      <c r="E90" s="187">
        <v>1.1599999999999999</v>
      </c>
      <c r="F90" s="187" t="s">
        <v>319</v>
      </c>
      <c r="G90" s="184">
        <f t="shared" si="1"/>
        <v>0</v>
      </c>
    </row>
    <row r="91" spans="1:7" x14ac:dyDescent="0.25">
      <c r="A91" s="187">
        <v>12280</v>
      </c>
      <c r="B91" s="187" t="s">
        <v>869</v>
      </c>
      <c r="C91" s="187"/>
      <c r="D91" s="188"/>
      <c r="E91" s="189">
        <v>1.3</v>
      </c>
      <c r="F91" s="187" t="s">
        <v>319</v>
      </c>
      <c r="G91" s="184">
        <f t="shared" si="1"/>
        <v>0</v>
      </c>
    </row>
    <row r="92" spans="1:7" x14ac:dyDescent="0.25">
      <c r="A92" s="187">
        <v>12290</v>
      </c>
      <c r="B92" s="187" t="s">
        <v>871</v>
      </c>
      <c r="C92" s="187"/>
      <c r="D92" s="188"/>
      <c r="E92" s="189">
        <v>1.56</v>
      </c>
      <c r="F92" s="187" t="s">
        <v>319</v>
      </c>
      <c r="G92" s="184">
        <f t="shared" si="1"/>
        <v>0</v>
      </c>
    </row>
    <row r="93" spans="1:7" x14ac:dyDescent="0.25">
      <c r="A93" s="187">
        <v>12300</v>
      </c>
      <c r="B93" s="187" t="s">
        <v>611</v>
      </c>
      <c r="C93" s="187"/>
      <c r="D93" s="188"/>
      <c r="E93" s="189">
        <v>1.75</v>
      </c>
      <c r="F93" s="187" t="s">
        <v>319</v>
      </c>
      <c r="G93" s="184">
        <f t="shared" si="1"/>
        <v>0</v>
      </c>
    </row>
    <row r="94" spans="1:7" x14ac:dyDescent="0.25">
      <c r="A94" s="187">
        <v>12310</v>
      </c>
      <c r="B94" s="187" t="s">
        <v>872</v>
      </c>
      <c r="C94" s="187"/>
      <c r="D94" s="188"/>
      <c r="E94" s="189">
        <v>2.1800000000000002</v>
      </c>
      <c r="F94" s="187" t="s">
        <v>319</v>
      </c>
      <c r="G94" s="184">
        <f t="shared" si="1"/>
        <v>0</v>
      </c>
    </row>
    <row r="95" spans="1:7" x14ac:dyDescent="0.25">
      <c r="A95" s="187">
        <v>12320</v>
      </c>
      <c r="B95" s="187" t="s">
        <v>612</v>
      </c>
      <c r="C95" s="187"/>
      <c r="D95" s="188"/>
      <c r="E95" s="189">
        <v>2.19</v>
      </c>
      <c r="F95" s="187" t="s">
        <v>319</v>
      </c>
      <c r="G95" s="184">
        <f t="shared" si="1"/>
        <v>0</v>
      </c>
    </row>
    <row r="96" spans="1:7" x14ac:dyDescent="0.25">
      <c r="A96" s="187">
        <v>12330</v>
      </c>
      <c r="B96" s="187" t="s">
        <v>873</v>
      </c>
      <c r="C96" s="187"/>
      <c r="D96" s="190">
        <v>2</v>
      </c>
      <c r="E96" s="189">
        <v>2.89</v>
      </c>
      <c r="F96" s="187" t="s">
        <v>319</v>
      </c>
      <c r="G96" s="184">
        <f t="shared" si="1"/>
        <v>5.78</v>
      </c>
    </row>
    <row r="97" spans="1:7" x14ac:dyDescent="0.25">
      <c r="A97" s="187">
        <v>12340</v>
      </c>
      <c r="B97" s="187" t="s">
        <v>874</v>
      </c>
      <c r="C97" s="187"/>
      <c r="D97" s="188"/>
      <c r="E97" s="189">
        <v>3.57</v>
      </c>
      <c r="F97" s="187" t="s">
        <v>319</v>
      </c>
      <c r="G97" s="184">
        <f t="shared" si="1"/>
        <v>0</v>
      </c>
    </row>
    <row r="98" spans="1:7" x14ac:dyDescent="0.25">
      <c r="A98" s="187">
        <v>12350</v>
      </c>
      <c r="B98" s="187" t="s">
        <v>875</v>
      </c>
      <c r="C98" s="187"/>
      <c r="D98" s="188"/>
      <c r="E98" s="189">
        <v>6.2</v>
      </c>
      <c r="F98" s="187" t="s">
        <v>319</v>
      </c>
      <c r="G98" s="184">
        <f t="shared" si="1"/>
        <v>0</v>
      </c>
    </row>
    <row r="99" spans="1:7" x14ac:dyDescent="0.25">
      <c r="A99" s="187">
        <v>12360</v>
      </c>
      <c r="B99" s="187" t="s">
        <v>876</v>
      </c>
      <c r="C99" s="188"/>
      <c r="D99" s="188"/>
      <c r="E99" s="189">
        <v>7.65</v>
      </c>
      <c r="F99" s="187" t="s">
        <v>319</v>
      </c>
      <c r="G99" s="184">
        <f t="shared" si="1"/>
        <v>0</v>
      </c>
    </row>
    <row r="100" spans="1:7" x14ac:dyDescent="0.25">
      <c r="A100" s="187">
        <v>12370</v>
      </c>
      <c r="B100" s="187" t="s">
        <v>877</v>
      </c>
      <c r="C100" s="188"/>
      <c r="D100" s="188"/>
      <c r="E100" s="189">
        <v>9.75</v>
      </c>
      <c r="F100" s="187" t="s">
        <v>319</v>
      </c>
      <c r="G100" s="184">
        <f t="shared" si="1"/>
        <v>0</v>
      </c>
    </row>
    <row r="101" spans="1:7" x14ac:dyDescent="0.25">
      <c r="A101" s="187">
        <v>12380</v>
      </c>
      <c r="B101" s="187" t="s">
        <v>613</v>
      </c>
      <c r="C101" s="188"/>
      <c r="D101" s="190">
        <v>1</v>
      </c>
      <c r="E101" s="189">
        <v>1.21</v>
      </c>
      <c r="F101" s="187" t="s">
        <v>319</v>
      </c>
      <c r="G101" s="184">
        <f t="shared" si="1"/>
        <v>1.21</v>
      </c>
    </row>
    <row r="102" spans="1:7" x14ac:dyDescent="0.25">
      <c r="A102" s="187">
        <v>12400</v>
      </c>
      <c r="B102" s="187" t="s">
        <v>614</v>
      </c>
      <c r="C102" s="188"/>
      <c r="D102" s="190">
        <v>2</v>
      </c>
      <c r="E102" s="189">
        <v>1.42</v>
      </c>
      <c r="F102" s="187" t="s">
        <v>319</v>
      </c>
      <c r="G102" s="184">
        <f t="shared" si="1"/>
        <v>2.84</v>
      </c>
    </row>
    <row r="103" spans="1:7" x14ac:dyDescent="0.25">
      <c r="A103" s="187">
        <v>12410</v>
      </c>
      <c r="B103" s="187" t="s">
        <v>615</v>
      </c>
      <c r="C103" s="188"/>
      <c r="D103" s="190">
        <v>1</v>
      </c>
      <c r="E103" s="189">
        <v>1.68</v>
      </c>
      <c r="F103" s="187" t="s">
        <v>319</v>
      </c>
      <c r="G103" s="184">
        <f t="shared" si="1"/>
        <v>1.68</v>
      </c>
    </row>
    <row r="104" spans="1:7" x14ac:dyDescent="0.25">
      <c r="A104" s="187">
        <v>12420</v>
      </c>
      <c r="B104" s="187" t="s">
        <v>616</v>
      </c>
      <c r="C104" s="188"/>
      <c r="D104" s="189">
        <v>3</v>
      </c>
      <c r="E104" s="189">
        <v>1.95</v>
      </c>
      <c r="F104" s="187" t="s">
        <v>319</v>
      </c>
      <c r="G104" s="184">
        <f t="shared" si="1"/>
        <v>5.85</v>
      </c>
    </row>
    <row r="105" spans="1:7" x14ac:dyDescent="0.25">
      <c r="A105" s="187">
        <v>12430</v>
      </c>
      <c r="B105" s="187" t="s">
        <v>617</v>
      </c>
      <c r="C105" s="188"/>
      <c r="D105" s="188"/>
      <c r="E105" s="189">
        <v>2.12</v>
      </c>
      <c r="F105" s="187" t="s">
        <v>319</v>
      </c>
      <c r="G105" s="184">
        <f t="shared" si="1"/>
        <v>0</v>
      </c>
    </row>
    <row r="106" spans="1:7" x14ac:dyDescent="0.25">
      <c r="A106" s="187">
        <v>12440</v>
      </c>
      <c r="B106" s="187" t="s">
        <v>618</v>
      </c>
      <c r="C106" s="188"/>
      <c r="D106" s="188"/>
      <c r="E106" s="189">
        <v>2.4300000000000002</v>
      </c>
      <c r="F106" s="187" t="s">
        <v>319</v>
      </c>
      <c r="G106" s="184">
        <f t="shared" si="1"/>
        <v>0</v>
      </c>
    </row>
    <row r="107" spans="1:7" x14ac:dyDescent="0.25">
      <c r="A107" s="187">
        <v>12450</v>
      </c>
      <c r="B107" s="187" t="s">
        <v>619</v>
      </c>
      <c r="C107" s="188"/>
      <c r="D107" s="189">
        <v>4</v>
      </c>
      <c r="E107" s="189">
        <v>2.8</v>
      </c>
      <c r="F107" s="187" t="s">
        <v>319</v>
      </c>
      <c r="G107" s="184">
        <f t="shared" si="1"/>
        <v>11.2</v>
      </c>
    </row>
    <row r="108" spans="1:7" x14ac:dyDescent="0.25">
      <c r="A108" s="187">
        <v>12460</v>
      </c>
      <c r="B108" s="187" t="s">
        <v>620</v>
      </c>
      <c r="C108" s="188"/>
      <c r="D108" s="188"/>
      <c r="E108" s="189">
        <v>3.61</v>
      </c>
      <c r="F108" s="187" t="s">
        <v>319</v>
      </c>
      <c r="G108" s="184">
        <f t="shared" si="1"/>
        <v>0</v>
      </c>
    </row>
    <row r="109" spans="1:7" x14ac:dyDescent="0.25">
      <c r="A109" s="187">
        <v>12470</v>
      </c>
      <c r="B109" s="187" t="s">
        <v>621</v>
      </c>
      <c r="C109" s="188"/>
      <c r="D109" s="188"/>
      <c r="E109" s="189">
        <v>3.99</v>
      </c>
      <c r="F109" s="187" t="s">
        <v>319</v>
      </c>
      <c r="G109" s="184">
        <f t="shared" si="1"/>
        <v>0</v>
      </c>
    </row>
    <row r="110" spans="1:7" x14ac:dyDescent="0.25">
      <c r="A110" s="187">
        <v>12480</v>
      </c>
      <c r="B110" s="187" t="s">
        <v>878</v>
      </c>
      <c r="C110" s="188"/>
      <c r="D110" s="188"/>
      <c r="E110" s="189">
        <v>21.2</v>
      </c>
      <c r="F110" s="187" t="s">
        <v>319</v>
      </c>
      <c r="G110" s="184">
        <f t="shared" si="1"/>
        <v>0</v>
      </c>
    </row>
    <row r="111" spans="1:7" x14ac:dyDescent="0.25">
      <c r="A111" s="187">
        <v>12490</v>
      </c>
      <c r="B111" s="187" t="s">
        <v>879</v>
      </c>
      <c r="C111" s="188"/>
      <c r="D111" s="188"/>
      <c r="E111" s="189">
        <v>21.2</v>
      </c>
      <c r="F111" s="187" t="s">
        <v>319</v>
      </c>
      <c r="G111" s="184">
        <f t="shared" si="1"/>
        <v>0</v>
      </c>
    </row>
    <row r="112" spans="1:7" x14ac:dyDescent="0.25">
      <c r="A112" s="187">
        <v>12500</v>
      </c>
      <c r="B112" s="187" t="s">
        <v>880</v>
      </c>
      <c r="C112" s="188"/>
      <c r="D112" s="188"/>
      <c r="E112" s="189">
        <v>1.22</v>
      </c>
      <c r="F112" s="187" t="s">
        <v>319</v>
      </c>
      <c r="G112" s="184">
        <f t="shared" si="1"/>
        <v>0</v>
      </c>
    </row>
    <row r="113" spans="1:7" x14ac:dyDescent="0.25">
      <c r="A113" s="187">
        <v>12510</v>
      </c>
      <c r="B113" s="187" t="s">
        <v>881</v>
      </c>
      <c r="C113" s="188"/>
      <c r="D113" s="188"/>
      <c r="E113" s="189">
        <v>6.75</v>
      </c>
      <c r="F113" s="187" t="s">
        <v>319</v>
      </c>
      <c r="G113" s="184">
        <f t="shared" si="1"/>
        <v>0</v>
      </c>
    </row>
    <row r="114" spans="1:7" x14ac:dyDescent="0.25">
      <c r="A114" s="187">
        <v>12520</v>
      </c>
      <c r="B114" s="187" t="s">
        <v>882</v>
      </c>
      <c r="C114" s="188"/>
      <c r="D114" s="188"/>
      <c r="E114" s="189">
        <v>9.5</v>
      </c>
      <c r="F114" s="187" t="s">
        <v>319</v>
      </c>
      <c r="G114" s="184">
        <f t="shared" si="1"/>
        <v>0</v>
      </c>
    </row>
    <row r="115" spans="1:7" x14ac:dyDescent="0.25">
      <c r="A115" s="187">
        <v>12530</v>
      </c>
      <c r="B115" s="187" t="s">
        <v>883</v>
      </c>
      <c r="C115" s="188"/>
      <c r="D115" s="188"/>
      <c r="E115" s="189">
        <v>10.35</v>
      </c>
      <c r="F115" s="187" t="s">
        <v>319</v>
      </c>
      <c r="G115" s="184">
        <f t="shared" si="1"/>
        <v>0</v>
      </c>
    </row>
    <row r="116" spans="1:7" x14ac:dyDescent="0.25">
      <c r="A116" s="187">
        <v>12540</v>
      </c>
      <c r="B116" s="187" t="s">
        <v>884</v>
      </c>
      <c r="C116" s="188"/>
      <c r="D116" s="188"/>
      <c r="E116" s="189">
        <v>12.15</v>
      </c>
      <c r="F116" s="187" t="s">
        <v>319</v>
      </c>
      <c r="G116" s="184">
        <f t="shared" si="1"/>
        <v>0</v>
      </c>
    </row>
    <row r="117" spans="1:7" x14ac:dyDescent="0.25">
      <c r="A117" s="187">
        <v>12550</v>
      </c>
      <c r="B117" s="187" t="s">
        <v>885</v>
      </c>
      <c r="C117" s="188"/>
      <c r="D117" s="188"/>
      <c r="E117" s="189">
        <v>10.6</v>
      </c>
      <c r="F117" s="187" t="s">
        <v>319</v>
      </c>
      <c r="G117" s="184">
        <f t="shared" si="1"/>
        <v>0</v>
      </c>
    </row>
    <row r="118" spans="1:7" x14ac:dyDescent="0.25">
      <c r="A118" s="187">
        <v>12560</v>
      </c>
      <c r="B118" s="187" t="s">
        <v>340</v>
      </c>
      <c r="C118" s="188"/>
      <c r="D118" s="188"/>
      <c r="E118" s="189">
        <v>10</v>
      </c>
      <c r="F118" s="187" t="s">
        <v>319</v>
      </c>
      <c r="G118" s="184">
        <f t="shared" si="1"/>
        <v>0</v>
      </c>
    </row>
    <row r="119" spans="1:7" x14ac:dyDescent="0.25">
      <c r="A119" s="187">
        <v>12570</v>
      </c>
      <c r="B119" s="187" t="s">
        <v>341</v>
      </c>
      <c r="C119" s="188"/>
      <c r="D119" s="188"/>
      <c r="E119" s="189">
        <v>9.8800000000000008</v>
      </c>
      <c r="F119" s="187" t="s">
        <v>319</v>
      </c>
      <c r="G119" s="184">
        <f t="shared" si="1"/>
        <v>0</v>
      </c>
    </row>
    <row r="120" spans="1:7" x14ac:dyDescent="0.25">
      <c r="A120" s="187">
        <v>12575</v>
      </c>
      <c r="B120" s="187" t="s">
        <v>622</v>
      </c>
      <c r="C120" s="188"/>
      <c r="D120" s="188"/>
      <c r="E120" s="189">
        <v>12.16</v>
      </c>
      <c r="F120" s="187" t="s">
        <v>319</v>
      </c>
      <c r="G120" s="184">
        <f t="shared" si="1"/>
        <v>0</v>
      </c>
    </row>
    <row r="121" spans="1:7" x14ac:dyDescent="0.25">
      <c r="A121" s="187">
        <v>12580</v>
      </c>
      <c r="B121" s="187" t="s">
        <v>342</v>
      </c>
      <c r="C121" s="188"/>
      <c r="D121" s="188"/>
      <c r="E121" s="189">
        <v>10.7</v>
      </c>
      <c r="F121" s="187" t="s">
        <v>319</v>
      </c>
      <c r="G121" s="184">
        <f t="shared" si="1"/>
        <v>0</v>
      </c>
    </row>
    <row r="122" spans="1:7" x14ac:dyDescent="0.25">
      <c r="A122" s="187">
        <v>12590</v>
      </c>
      <c r="B122" s="187" t="s">
        <v>343</v>
      </c>
      <c r="C122" s="188"/>
      <c r="D122" s="188"/>
      <c r="E122" s="189">
        <v>11.26</v>
      </c>
      <c r="F122" s="187" t="s">
        <v>319</v>
      </c>
      <c r="G122" s="184">
        <f t="shared" si="1"/>
        <v>0</v>
      </c>
    </row>
    <row r="123" spans="1:7" x14ac:dyDescent="0.25">
      <c r="A123" s="187">
        <v>12600</v>
      </c>
      <c r="B123" s="187" t="s">
        <v>344</v>
      </c>
      <c r="C123" s="188"/>
      <c r="D123" s="188"/>
      <c r="E123" s="189">
        <v>16.465</v>
      </c>
      <c r="F123" s="187" t="s">
        <v>319</v>
      </c>
      <c r="G123" s="184">
        <f t="shared" si="1"/>
        <v>0</v>
      </c>
    </row>
    <row r="124" spans="1:7" x14ac:dyDescent="0.25">
      <c r="A124" s="187">
        <v>12610</v>
      </c>
      <c r="B124" s="187" t="s">
        <v>345</v>
      </c>
      <c r="C124" s="188"/>
      <c r="D124" s="188"/>
      <c r="E124" s="189">
        <v>10.07</v>
      </c>
      <c r="F124" s="187" t="s">
        <v>319</v>
      </c>
      <c r="G124" s="184">
        <f t="shared" si="1"/>
        <v>0</v>
      </c>
    </row>
    <row r="125" spans="1:7" x14ac:dyDescent="0.25">
      <c r="A125" s="187">
        <v>12615</v>
      </c>
      <c r="B125" s="187" t="s">
        <v>623</v>
      </c>
      <c r="C125" s="188"/>
      <c r="D125" s="188"/>
      <c r="E125" s="189">
        <v>20.911000000000001</v>
      </c>
      <c r="F125" s="187" t="s">
        <v>319</v>
      </c>
      <c r="G125" s="184">
        <f t="shared" si="1"/>
        <v>0</v>
      </c>
    </row>
    <row r="126" spans="1:7" x14ac:dyDescent="0.25">
      <c r="A126" s="187">
        <v>12620</v>
      </c>
      <c r="B126" s="187" t="s">
        <v>346</v>
      </c>
      <c r="C126" s="188"/>
      <c r="D126" s="188"/>
      <c r="E126" s="189">
        <v>13.89</v>
      </c>
      <c r="F126" s="187" t="s">
        <v>319</v>
      </c>
      <c r="G126" s="184">
        <f t="shared" si="1"/>
        <v>0</v>
      </c>
    </row>
    <row r="127" spans="1:7" x14ac:dyDescent="0.25">
      <c r="A127" s="187">
        <v>12630</v>
      </c>
      <c r="B127" s="187" t="s">
        <v>624</v>
      </c>
      <c r="C127" s="188"/>
      <c r="D127" s="188"/>
      <c r="E127" s="189">
        <v>16.79</v>
      </c>
      <c r="F127" s="187" t="s">
        <v>319</v>
      </c>
      <c r="G127" s="184">
        <f t="shared" si="1"/>
        <v>0</v>
      </c>
    </row>
    <row r="128" spans="1:7" x14ac:dyDescent="0.25">
      <c r="A128" s="187">
        <v>12640</v>
      </c>
      <c r="B128" s="187" t="s">
        <v>347</v>
      </c>
      <c r="C128" s="188"/>
      <c r="D128" s="188"/>
      <c r="E128" s="189">
        <v>13.99</v>
      </c>
      <c r="F128" s="187" t="s">
        <v>319</v>
      </c>
      <c r="G128" s="184">
        <f t="shared" si="1"/>
        <v>0</v>
      </c>
    </row>
    <row r="129" spans="1:7" x14ac:dyDescent="0.25">
      <c r="A129" s="187">
        <v>12650</v>
      </c>
      <c r="B129" s="187" t="s">
        <v>886</v>
      </c>
      <c r="C129" s="188"/>
      <c r="D129" s="188"/>
      <c r="E129" s="189">
        <v>22.8</v>
      </c>
      <c r="F129" s="188" t="s">
        <v>319</v>
      </c>
      <c r="G129" s="184">
        <f t="shared" si="1"/>
        <v>0</v>
      </c>
    </row>
    <row r="130" spans="1:7" x14ac:dyDescent="0.25">
      <c r="A130" s="187">
        <v>12660</v>
      </c>
      <c r="B130" s="187" t="s">
        <v>887</v>
      </c>
      <c r="C130" s="187"/>
      <c r="D130" s="188"/>
      <c r="E130" s="189">
        <v>30</v>
      </c>
      <c r="F130" s="187" t="s">
        <v>319</v>
      </c>
      <c r="G130" s="184">
        <f t="shared" si="1"/>
        <v>0</v>
      </c>
    </row>
    <row r="131" spans="1:7" x14ac:dyDescent="0.25">
      <c r="A131" s="187">
        <v>12700</v>
      </c>
      <c r="B131" s="187" t="s">
        <v>625</v>
      </c>
      <c r="C131" s="187"/>
      <c r="D131" s="190">
        <v>3</v>
      </c>
      <c r="E131" s="189">
        <v>2.4</v>
      </c>
      <c r="F131" s="187" t="s">
        <v>319</v>
      </c>
      <c r="G131" s="184">
        <f t="shared" si="1"/>
        <v>7.1999999999999993</v>
      </c>
    </row>
    <row r="132" spans="1:7" x14ac:dyDescent="0.25">
      <c r="A132" s="187">
        <v>12710</v>
      </c>
      <c r="B132" s="187" t="s">
        <v>626</v>
      </c>
      <c r="C132" s="187"/>
      <c r="D132" s="188"/>
      <c r="E132" s="189">
        <v>2.08</v>
      </c>
      <c r="F132" s="187" t="s">
        <v>319</v>
      </c>
      <c r="G132" s="184">
        <f t="shared" si="1"/>
        <v>0</v>
      </c>
    </row>
    <row r="133" spans="1:7" x14ac:dyDescent="0.25">
      <c r="A133" s="187">
        <v>12720</v>
      </c>
      <c r="B133" s="187" t="s">
        <v>627</v>
      </c>
      <c r="C133" s="187"/>
      <c r="D133" s="188"/>
      <c r="E133" s="189">
        <v>3.2</v>
      </c>
      <c r="F133" s="187" t="s">
        <v>319</v>
      </c>
      <c r="G133" s="184">
        <f t="shared" si="1"/>
        <v>0</v>
      </c>
    </row>
    <row r="134" spans="1:7" x14ac:dyDescent="0.25">
      <c r="A134" s="187">
        <v>12730</v>
      </c>
      <c r="B134" s="187" t="s">
        <v>628</v>
      </c>
      <c r="C134" s="187"/>
      <c r="D134" s="188"/>
      <c r="E134" s="189">
        <v>3.46</v>
      </c>
      <c r="F134" s="187" t="s">
        <v>319</v>
      </c>
      <c r="G134" s="184">
        <f t="shared" si="1"/>
        <v>0</v>
      </c>
    </row>
    <row r="135" spans="1:7" x14ac:dyDescent="0.25">
      <c r="A135" s="187">
        <v>12740</v>
      </c>
      <c r="B135" s="187" t="s">
        <v>629</v>
      </c>
      <c r="C135" s="187"/>
      <c r="D135" s="188"/>
      <c r="E135" s="189">
        <v>5.85</v>
      </c>
      <c r="F135" s="187" t="s">
        <v>319</v>
      </c>
      <c r="G135" s="184">
        <f t="shared" si="1"/>
        <v>0</v>
      </c>
    </row>
    <row r="136" spans="1:7" x14ac:dyDescent="0.25">
      <c r="A136" s="187">
        <v>12750</v>
      </c>
      <c r="B136" s="187" t="s">
        <v>630</v>
      </c>
      <c r="C136" s="187"/>
      <c r="D136" s="188"/>
      <c r="E136" s="189">
        <v>6.63</v>
      </c>
      <c r="F136" s="187" t="s">
        <v>319</v>
      </c>
      <c r="G136" s="184">
        <f t="shared" si="1"/>
        <v>0</v>
      </c>
    </row>
    <row r="137" spans="1:7" x14ac:dyDescent="0.25">
      <c r="A137" s="187">
        <v>12760</v>
      </c>
      <c r="B137" s="187" t="s">
        <v>631</v>
      </c>
      <c r="C137" s="187"/>
      <c r="D137" s="188"/>
      <c r="E137" s="189">
        <v>7.36</v>
      </c>
      <c r="F137" s="187" t="s">
        <v>319</v>
      </c>
      <c r="G137" s="184">
        <f t="shared" si="1"/>
        <v>0</v>
      </c>
    </row>
    <row r="138" spans="1:7" x14ac:dyDescent="0.25">
      <c r="A138" s="187">
        <v>12770</v>
      </c>
      <c r="B138" s="187" t="s">
        <v>632</v>
      </c>
      <c r="C138" s="187"/>
      <c r="D138" s="188"/>
      <c r="E138" s="189">
        <v>10.02</v>
      </c>
      <c r="F138" s="187" t="s">
        <v>319</v>
      </c>
      <c r="G138" s="184">
        <f t="shared" si="1"/>
        <v>0</v>
      </c>
    </row>
    <row r="139" spans="1:7" x14ac:dyDescent="0.25">
      <c r="A139" s="187">
        <v>12780</v>
      </c>
      <c r="B139" s="187" t="s">
        <v>633</v>
      </c>
      <c r="C139" s="187"/>
      <c r="D139" s="188"/>
      <c r="E139" s="189">
        <v>14.2</v>
      </c>
      <c r="F139" s="187" t="s">
        <v>319</v>
      </c>
      <c r="G139" s="184">
        <f t="shared" si="1"/>
        <v>0</v>
      </c>
    </row>
    <row r="140" spans="1:7" x14ac:dyDescent="0.25">
      <c r="A140" s="187">
        <v>12790</v>
      </c>
      <c r="B140" s="187" t="s">
        <v>348</v>
      </c>
      <c r="C140" s="187"/>
      <c r="D140" s="188"/>
      <c r="E140" s="189">
        <v>23.35</v>
      </c>
      <c r="F140" s="187" t="s">
        <v>319</v>
      </c>
      <c r="G140" s="184">
        <f t="shared" ref="G140:G203" si="2">D140*E140</f>
        <v>0</v>
      </c>
    </row>
    <row r="141" spans="1:7" x14ac:dyDescent="0.25">
      <c r="A141" s="187">
        <v>12800</v>
      </c>
      <c r="B141" s="187" t="s">
        <v>349</v>
      </c>
      <c r="C141" s="187"/>
      <c r="D141" s="188"/>
      <c r="E141" s="189">
        <v>66</v>
      </c>
      <c r="F141" s="187" t="s">
        <v>319</v>
      </c>
      <c r="G141" s="184">
        <f t="shared" si="2"/>
        <v>0</v>
      </c>
    </row>
    <row r="142" spans="1:7" x14ac:dyDescent="0.25">
      <c r="A142" s="187">
        <v>12810</v>
      </c>
      <c r="B142" s="187" t="s">
        <v>350</v>
      </c>
      <c r="C142" s="187"/>
      <c r="D142" s="188"/>
      <c r="E142" s="189">
        <v>1.6</v>
      </c>
      <c r="F142" s="187" t="s">
        <v>319</v>
      </c>
      <c r="G142" s="184">
        <f t="shared" si="2"/>
        <v>0</v>
      </c>
    </row>
    <row r="143" spans="1:7" x14ac:dyDescent="0.25">
      <c r="A143" s="187">
        <v>12830</v>
      </c>
      <c r="B143" s="187" t="s">
        <v>351</v>
      </c>
      <c r="C143" s="187"/>
      <c r="D143" s="188"/>
      <c r="E143" s="189">
        <v>1.18</v>
      </c>
      <c r="F143" s="187" t="s">
        <v>319</v>
      </c>
      <c r="G143" s="184">
        <f t="shared" si="2"/>
        <v>0</v>
      </c>
    </row>
    <row r="144" spans="1:7" x14ac:dyDescent="0.25">
      <c r="A144" s="187">
        <v>12840</v>
      </c>
      <c r="B144" s="187" t="s">
        <v>352</v>
      </c>
      <c r="C144" s="187"/>
      <c r="D144" s="188"/>
      <c r="E144" s="189">
        <v>2.48</v>
      </c>
      <c r="F144" s="187" t="s">
        <v>319</v>
      </c>
      <c r="G144" s="184">
        <f t="shared" si="2"/>
        <v>0</v>
      </c>
    </row>
    <row r="145" spans="1:7" x14ac:dyDescent="0.25">
      <c r="A145" s="187">
        <v>12850</v>
      </c>
      <c r="B145" s="187" t="s">
        <v>353</v>
      </c>
      <c r="C145" s="187"/>
      <c r="D145" s="190">
        <v>1</v>
      </c>
      <c r="E145" s="189">
        <v>1.58</v>
      </c>
      <c r="F145" s="187" t="s">
        <v>319</v>
      </c>
      <c r="G145" s="184">
        <f t="shared" si="2"/>
        <v>1.58</v>
      </c>
    </row>
    <row r="146" spans="1:7" x14ac:dyDescent="0.25">
      <c r="A146" s="187">
        <v>12860</v>
      </c>
      <c r="B146" s="187" t="s">
        <v>354</v>
      </c>
      <c r="C146" s="187"/>
      <c r="D146" s="188"/>
      <c r="E146" s="189">
        <v>1.64</v>
      </c>
      <c r="F146" s="187" t="s">
        <v>319</v>
      </c>
      <c r="G146" s="184">
        <f t="shared" si="2"/>
        <v>0</v>
      </c>
    </row>
    <row r="147" spans="1:7" x14ac:dyDescent="0.25">
      <c r="A147" s="187">
        <v>12870</v>
      </c>
      <c r="B147" s="187" t="s">
        <v>355</v>
      </c>
      <c r="C147" s="187"/>
      <c r="D147" s="188"/>
      <c r="E147" s="189">
        <v>3.3</v>
      </c>
      <c r="F147" s="187" t="s">
        <v>319</v>
      </c>
      <c r="G147" s="184">
        <f t="shared" si="2"/>
        <v>0</v>
      </c>
    </row>
    <row r="148" spans="1:7" x14ac:dyDescent="0.25">
      <c r="A148" s="187">
        <v>12880</v>
      </c>
      <c r="B148" s="187" t="s">
        <v>356</v>
      </c>
      <c r="C148" s="187"/>
      <c r="D148" s="188"/>
      <c r="E148" s="189">
        <v>3.49</v>
      </c>
      <c r="F148" s="187" t="s">
        <v>319</v>
      </c>
      <c r="G148" s="184">
        <f t="shared" si="2"/>
        <v>0</v>
      </c>
    </row>
    <row r="149" spans="1:7" x14ac:dyDescent="0.25">
      <c r="A149" s="187">
        <v>12890</v>
      </c>
      <c r="B149" s="187" t="s">
        <v>357</v>
      </c>
      <c r="C149" s="187"/>
      <c r="D149" s="188"/>
      <c r="E149" s="189">
        <v>5.3</v>
      </c>
      <c r="F149" s="187" t="s">
        <v>319</v>
      </c>
      <c r="G149" s="184">
        <f t="shared" si="2"/>
        <v>0</v>
      </c>
    </row>
    <row r="150" spans="1:7" x14ac:dyDescent="0.25">
      <c r="A150" s="187">
        <v>12900</v>
      </c>
      <c r="B150" s="187" t="s">
        <v>358</v>
      </c>
      <c r="C150" s="187"/>
      <c r="D150" s="188"/>
      <c r="E150" s="189">
        <v>8.64</v>
      </c>
      <c r="F150" s="187" t="s">
        <v>319</v>
      </c>
      <c r="G150" s="184">
        <f t="shared" si="2"/>
        <v>0</v>
      </c>
    </row>
    <row r="151" spans="1:7" x14ac:dyDescent="0.25">
      <c r="A151" s="187">
        <v>12910</v>
      </c>
      <c r="B151" s="187" t="s">
        <v>359</v>
      </c>
      <c r="C151" s="187"/>
      <c r="D151" s="188"/>
      <c r="E151" s="188"/>
      <c r="F151" s="187" t="s">
        <v>319</v>
      </c>
      <c r="G151" s="184">
        <f t="shared" si="2"/>
        <v>0</v>
      </c>
    </row>
    <row r="152" spans="1:7" x14ac:dyDescent="0.25">
      <c r="A152" s="187">
        <v>12920</v>
      </c>
      <c r="B152" s="187" t="s">
        <v>360</v>
      </c>
      <c r="C152" s="187"/>
      <c r="D152" s="188"/>
      <c r="E152" s="188"/>
      <c r="F152" s="187" t="s">
        <v>319</v>
      </c>
      <c r="G152" s="184">
        <f t="shared" si="2"/>
        <v>0</v>
      </c>
    </row>
    <row r="153" spans="1:7" x14ac:dyDescent="0.25">
      <c r="A153" s="187">
        <v>12930</v>
      </c>
      <c r="B153" s="187" t="s">
        <v>889</v>
      </c>
      <c r="C153" s="187"/>
      <c r="D153" s="188"/>
      <c r="E153" s="189">
        <v>5.15</v>
      </c>
      <c r="F153" s="187" t="s">
        <v>319</v>
      </c>
      <c r="G153" s="184">
        <f t="shared" si="2"/>
        <v>0</v>
      </c>
    </row>
    <row r="154" spans="1:7" x14ac:dyDescent="0.25">
      <c r="A154" s="187">
        <v>12950</v>
      </c>
      <c r="B154" s="187" t="s">
        <v>890</v>
      </c>
      <c r="C154" s="187"/>
      <c r="D154" s="188"/>
      <c r="E154" s="189">
        <v>2.87</v>
      </c>
      <c r="F154" s="187" t="s">
        <v>319</v>
      </c>
      <c r="G154" s="184">
        <f t="shared" si="2"/>
        <v>0</v>
      </c>
    </row>
    <row r="155" spans="1:7" x14ac:dyDescent="0.25">
      <c r="A155" s="187">
        <v>12960</v>
      </c>
      <c r="B155" s="187" t="s">
        <v>891</v>
      </c>
      <c r="C155" s="187"/>
      <c r="D155" s="188"/>
      <c r="E155" s="189">
        <v>5.55</v>
      </c>
      <c r="F155" s="187" t="s">
        <v>319</v>
      </c>
      <c r="G155" s="184">
        <f t="shared" si="2"/>
        <v>0</v>
      </c>
    </row>
    <row r="156" spans="1:7" x14ac:dyDescent="0.25">
      <c r="A156" s="187">
        <v>12970</v>
      </c>
      <c r="B156" s="187" t="s">
        <v>892</v>
      </c>
      <c r="C156" s="187"/>
      <c r="D156" s="188"/>
      <c r="E156" s="189">
        <v>5.65</v>
      </c>
      <c r="F156" s="187" t="s">
        <v>319</v>
      </c>
      <c r="G156" s="184">
        <f t="shared" si="2"/>
        <v>0</v>
      </c>
    </row>
    <row r="157" spans="1:7" x14ac:dyDescent="0.25">
      <c r="A157" s="187">
        <v>12980</v>
      </c>
      <c r="B157" s="187" t="s">
        <v>893</v>
      </c>
      <c r="C157" s="187"/>
      <c r="D157" s="188"/>
      <c r="E157" s="189">
        <v>9.3000000000000007</v>
      </c>
      <c r="F157" s="187" t="s">
        <v>319</v>
      </c>
      <c r="G157" s="184">
        <f t="shared" si="2"/>
        <v>0</v>
      </c>
    </row>
    <row r="158" spans="1:7" x14ac:dyDescent="0.25">
      <c r="A158" s="187">
        <v>12990</v>
      </c>
      <c r="B158" s="187" t="s">
        <v>894</v>
      </c>
      <c r="C158" s="193"/>
      <c r="D158" s="188"/>
      <c r="E158" s="189">
        <v>9.0500000000000007</v>
      </c>
      <c r="F158" s="187" t="s">
        <v>319</v>
      </c>
      <c r="G158" s="184">
        <f t="shared" si="2"/>
        <v>0</v>
      </c>
    </row>
    <row r="159" spans="1:7" x14ac:dyDescent="0.25">
      <c r="A159" s="187">
        <v>13000</v>
      </c>
      <c r="B159" s="187" t="s">
        <v>895</v>
      </c>
      <c r="C159" s="187"/>
      <c r="D159" s="188"/>
      <c r="E159" s="189">
        <v>9.67</v>
      </c>
      <c r="F159" s="187" t="s">
        <v>319</v>
      </c>
      <c r="G159" s="184">
        <f t="shared" si="2"/>
        <v>0</v>
      </c>
    </row>
    <row r="160" spans="1:7" x14ac:dyDescent="0.25">
      <c r="A160" s="187">
        <v>13020</v>
      </c>
      <c r="B160" s="187" t="s">
        <v>896</v>
      </c>
      <c r="C160" s="187"/>
      <c r="D160" s="188"/>
      <c r="E160" s="189">
        <v>8.0399999999999991</v>
      </c>
      <c r="F160" s="187" t="s">
        <v>319</v>
      </c>
      <c r="G160" s="184">
        <f t="shared" si="2"/>
        <v>0</v>
      </c>
    </row>
    <row r="161" spans="1:7" x14ac:dyDescent="0.25">
      <c r="A161" s="187">
        <v>13030</v>
      </c>
      <c r="B161" s="187" t="s">
        <v>897</v>
      </c>
      <c r="C161" s="187"/>
      <c r="D161" s="188"/>
      <c r="E161" s="189">
        <v>11.03</v>
      </c>
      <c r="F161" s="187" t="s">
        <v>319</v>
      </c>
      <c r="G161" s="184">
        <f t="shared" si="2"/>
        <v>0</v>
      </c>
    </row>
    <row r="162" spans="1:7" x14ac:dyDescent="0.25">
      <c r="A162" s="187">
        <v>13040</v>
      </c>
      <c r="B162" s="187" t="s">
        <v>898</v>
      </c>
      <c r="C162" s="187"/>
      <c r="D162" s="188"/>
      <c r="E162" s="189">
        <v>11.47</v>
      </c>
      <c r="F162" s="187" t="s">
        <v>319</v>
      </c>
      <c r="G162" s="184">
        <f t="shared" si="2"/>
        <v>0</v>
      </c>
    </row>
    <row r="163" spans="1:7" x14ac:dyDescent="0.25">
      <c r="A163" s="187">
        <v>13050</v>
      </c>
      <c r="B163" s="187" t="s">
        <v>900</v>
      </c>
      <c r="C163" s="187"/>
      <c r="D163" s="190">
        <v>3</v>
      </c>
      <c r="E163" s="189">
        <v>4.28</v>
      </c>
      <c r="F163" s="187" t="s">
        <v>319</v>
      </c>
      <c r="G163" s="184">
        <f t="shared" si="2"/>
        <v>12.84</v>
      </c>
    </row>
    <row r="164" spans="1:7" x14ac:dyDescent="0.25">
      <c r="A164" s="187">
        <v>13070</v>
      </c>
      <c r="B164" s="187" t="s">
        <v>899</v>
      </c>
      <c r="C164" s="187"/>
      <c r="D164" s="188"/>
      <c r="E164" s="189">
        <v>5.25</v>
      </c>
      <c r="F164" s="187" t="s">
        <v>319</v>
      </c>
      <c r="G164" s="184">
        <f t="shared" si="2"/>
        <v>0</v>
      </c>
    </row>
    <row r="165" spans="1:7" x14ac:dyDescent="0.25">
      <c r="A165" s="187">
        <v>13080</v>
      </c>
      <c r="B165" s="187" t="s">
        <v>901</v>
      </c>
      <c r="C165" s="187"/>
      <c r="D165" s="188"/>
      <c r="E165" s="189">
        <v>4.6100000000000003</v>
      </c>
      <c r="F165" s="187" t="s">
        <v>319</v>
      </c>
      <c r="G165" s="184">
        <f t="shared" si="2"/>
        <v>0</v>
      </c>
    </row>
    <row r="166" spans="1:7" x14ac:dyDescent="0.25">
      <c r="A166" s="187">
        <v>13090</v>
      </c>
      <c r="B166" s="187" t="s">
        <v>634</v>
      </c>
      <c r="C166" s="187"/>
      <c r="D166" s="188"/>
      <c r="E166" s="189">
        <v>4.82</v>
      </c>
      <c r="F166" s="187" t="s">
        <v>319</v>
      </c>
      <c r="G166" s="184">
        <f t="shared" si="2"/>
        <v>0</v>
      </c>
    </row>
    <row r="167" spans="1:7" x14ac:dyDescent="0.25">
      <c r="A167" s="187">
        <v>13100</v>
      </c>
      <c r="B167" s="187" t="s">
        <v>635</v>
      </c>
      <c r="C167" s="187"/>
      <c r="D167" s="188"/>
      <c r="E167" s="188"/>
      <c r="F167" s="187" t="s">
        <v>319</v>
      </c>
      <c r="G167" s="184">
        <f t="shared" si="2"/>
        <v>0</v>
      </c>
    </row>
    <row r="168" spans="1:7" x14ac:dyDescent="0.25">
      <c r="A168" s="187">
        <v>13110</v>
      </c>
      <c r="B168" s="187" t="s">
        <v>636</v>
      </c>
      <c r="C168" s="187"/>
      <c r="D168" s="188"/>
      <c r="E168" s="189">
        <v>5.26</v>
      </c>
      <c r="F168" s="187" t="s">
        <v>319</v>
      </c>
      <c r="G168" s="184">
        <f t="shared" si="2"/>
        <v>0</v>
      </c>
    </row>
    <row r="169" spans="1:7" x14ac:dyDescent="0.25">
      <c r="A169" s="187">
        <v>13120</v>
      </c>
      <c r="B169" s="187" t="s">
        <v>637</v>
      </c>
      <c r="C169" s="187"/>
      <c r="D169" s="188"/>
      <c r="E169" s="188"/>
      <c r="F169" s="187" t="s">
        <v>319</v>
      </c>
      <c r="G169" s="184">
        <f t="shared" si="2"/>
        <v>0</v>
      </c>
    </row>
    <row r="170" spans="1:7" x14ac:dyDescent="0.25">
      <c r="A170" s="187">
        <v>13130</v>
      </c>
      <c r="B170" s="187" t="s">
        <v>902</v>
      </c>
      <c r="C170" s="187"/>
      <c r="D170" s="188"/>
      <c r="E170" s="189">
        <v>4.99</v>
      </c>
      <c r="F170" s="187" t="s">
        <v>319</v>
      </c>
      <c r="G170" s="184">
        <f t="shared" si="2"/>
        <v>0</v>
      </c>
    </row>
    <row r="171" spans="1:7" x14ac:dyDescent="0.25">
      <c r="A171" s="187">
        <v>13140</v>
      </c>
      <c r="B171" s="187" t="s">
        <v>638</v>
      </c>
      <c r="C171" s="187"/>
      <c r="D171" s="188"/>
      <c r="E171" s="189">
        <v>5.25</v>
      </c>
      <c r="F171" s="187" t="s">
        <v>319</v>
      </c>
      <c r="G171" s="184">
        <f t="shared" si="2"/>
        <v>0</v>
      </c>
    </row>
    <row r="172" spans="1:7" x14ac:dyDescent="0.25">
      <c r="A172" s="187">
        <v>13150</v>
      </c>
      <c r="B172" s="187" t="s">
        <v>639</v>
      </c>
      <c r="C172" s="187"/>
      <c r="D172" s="188"/>
      <c r="E172" s="189">
        <v>7.52</v>
      </c>
      <c r="F172" s="187" t="s">
        <v>319</v>
      </c>
      <c r="G172" s="184">
        <f t="shared" si="2"/>
        <v>0</v>
      </c>
    </row>
    <row r="173" spans="1:7" x14ac:dyDescent="0.25">
      <c r="A173" s="187">
        <v>13160</v>
      </c>
      <c r="B173" s="187" t="s">
        <v>640</v>
      </c>
      <c r="C173" s="187"/>
      <c r="D173" s="188"/>
      <c r="E173" s="189">
        <v>6.67</v>
      </c>
      <c r="F173" s="187" t="s">
        <v>319</v>
      </c>
      <c r="G173" s="184">
        <f t="shared" si="2"/>
        <v>0</v>
      </c>
    </row>
    <row r="174" spans="1:7" x14ac:dyDescent="0.25">
      <c r="A174" s="187">
        <v>13170</v>
      </c>
      <c r="B174" s="187" t="s">
        <v>641</v>
      </c>
      <c r="C174" s="187"/>
      <c r="D174" s="188"/>
      <c r="E174" s="189">
        <v>8.67</v>
      </c>
      <c r="F174" s="187" t="s">
        <v>319</v>
      </c>
      <c r="G174" s="184">
        <f t="shared" si="2"/>
        <v>0</v>
      </c>
    </row>
    <row r="175" spans="1:7" x14ac:dyDescent="0.25">
      <c r="A175" s="187">
        <v>13180</v>
      </c>
      <c r="B175" s="187" t="s">
        <v>642</v>
      </c>
      <c r="C175" s="187"/>
      <c r="D175" s="188"/>
      <c r="E175" s="189">
        <v>8.11</v>
      </c>
      <c r="F175" s="187" t="s">
        <v>319</v>
      </c>
      <c r="G175" s="184">
        <f t="shared" si="2"/>
        <v>0</v>
      </c>
    </row>
    <row r="176" spans="1:7" x14ac:dyDescent="0.25">
      <c r="A176" s="187">
        <v>13190</v>
      </c>
      <c r="B176" s="187" t="s">
        <v>903</v>
      </c>
      <c r="C176" s="187"/>
      <c r="D176" s="188"/>
      <c r="E176" s="189">
        <v>12.55</v>
      </c>
      <c r="F176" s="187" t="s">
        <v>319</v>
      </c>
      <c r="G176" s="184">
        <f t="shared" si="2"/>
        <v>0</v>
      </c>
    </row>
    <row r="177" spans="1:7" x14ac:dyDescent="0.25">
      <c r="A177" s="187">
        <v>13200</v>
      </c>
      <c r="B177" s="187" t="s">
        <v>904</v>
      </c>
      <c r="C177" s="187"/>
      <c r="D177" s="188"/>
      <c r="E177" s="189">
        <v>10.130000000000001</v>
      </c>
      <c r="F177" s="187" t="s">
        <v>319</v>
      </c>
      <c r="G177" s="184">
        <f t="shared" si="2"/>
        <v>0</v>
      </c>
    </row>
    <row r="178" spans="1:7" x14ac:dyDescent="0.25">
      <c r="A178" s="187">
        <v>13210</v>
      </c>
      <c r="B178" s="187" t="s">
        <v>643</v>
      </c>
      <c r="C178" s="187"/>
      <c r="D178" s="188"/>
      <c r="E178" s="189">
        <v>12.75</v>
      </c>
      <c r="F178" s="187" t="s">
        <v>319</v>
      </c>
      <c r="G178" s="184">
        <f t="shared" si="2"/>
        <v>0</v>
      </c>
    </row>
    <row r="179" spans="1:7" x14ac:dyDescent="0.25">
      <c r="A179" s="187">
        <v>13220</v>
      </c>
      <c r="B179" s="187" t="s">
        <v>644</v>
      </c>
      <c r="C179" s="187"/>
      <c r="D179" s="188"/>
      <c r="E179" s="189">
        <v>5.88</v>
      </c>
      <c r="F179" s="187" t="s">
        <v>319</v>
      </c>
      <c r="G179" s="184">
        <f t="shared" si="2"/>
        <v>0</v>
      </c>
    </row>
    <row r="180" spans="1:7" x14ac:dyDescent="0.25">
      <c r="A180" s="187">
        <v>13230</v>
      </c>
      <c r="B180" s="187" t="s">
        <v>361</v>
      </c>
      <c r="C180" s="187"/>
      <c r="D180" s="188"/>
      <c r="E180" s="189">
        <v>6.35</v>
      </c>
      <c r="F180" s="187" t="s">
        <v>319</v>
      </c>
      <c r="G180" s="184">
        <f t="shared" si="2"/>
        <v>0</v>
      </c>
    </row>
    <row r="181" spans="1:7" x14ac:dyDescent="0.25">
      <c r="A181" s="187">
        <v>13240</v>
      </c>
      <c r="B181" s="187" t="s">
        <v>645</v>
      </c>
      <c r="C181" s="187"/>
      <c r="D181" s="188"/>
      <c r="E181" s="189">
        <v>5.12</v>
      </c>
      <c r="F181" s="187" t="s">
        <v>319</v>
      </c>
      <c r="G181" s="184">
        <f t="shared" si="2"/>
        <v>0</v>
      </c>
    </row>
    <row r="182" spans="1:7" x14ac:dyDescent="0.25">
      <c r="A182" s="187">
        <v>13250</v>
      </c>
      <c r="B182" s="187" t="s">
        <v>905</v>
      </c>
      <c r="C182" s="187"/>
      <c r="D182" s="188"/>
      <c r="E182" s="188"/>
      <c r="F182" s="187" t="s">
        <v>319</v>
      </c>
      <c r="G182" s="184">
        <f t="shared" si="2"/>
        <v>0</v>
      </c>
    </row>
    <row r="183" spans="1:7" x14ac:dyDescent="0.25">
      <c r="A183" s="187">
        <v>13260</v>
      </c>
      <c r="B183" s="187" t="s">
        <v>906</v>
      </c>
      <c r="C183" s="187"/>
      <c r="D183" s="188"/>
      <c r="E183" s="187">
        <v>7.2</v>
      </c>
      <c r="F183" s="187" t="s">
        <v>319</v>
      </c>
      <c r="G183" s="184">
        <f t="shared" si="2"/>
        <v>0</v>
      </c>
    </row>
    <row r="184" spans="1:7" x14ac:dyDescent="0.25">
      <c r="A184" s="187">
        <v>13270</v>
      </c>
      <c r="B184" s="187" t="s">
        <v>1016</v>
      </c>
      <c r="C184" s="187"/>
      <c r="D184" s="188"/>
      <c r="E184" s="188"/>
      <c r="F184" s="187" t="s">
        <v>319</v>
      </c>
      <c r="G184" s="184">
        <f t="shared" si="2"/>
        <v>0</v>
      </c>
    </row>
    <row r="185" spans="1:7" x14ac:dyDescent="0.25">
      <c r="A185" s="187">
        <v>13280</v>
      </c>
      <c r="B185" s="187" t="s">
        <v>646</v>
      </c>
      <c r="C185" s="187"/>
      <c r="D185" s="188"/>
      <c r="E185" s="189">
        <v>8.7200000000000006</v>
      </c>
      <c r="F185" s="187" t="s">
        <v>319</v>
      </c>
      <c r="G185" s="184">
        <f t="shared" si="2"/>
        <v>0</v>
      </c>
    </row>
    <row r="186" spans="1:7" x14ac:dyDescent="0.25">
      <c r="A186" s="187">
        <v>13290</v>
      </c>
      <c r="B186" s="187" t="s">
        <v>362</v>
      </c>
      <c r="C186" s="187"/>
      <c r="D186" s="188"/>
      <c r="E186" s="189">
        <v>9.4</v>
      </c>
      <c r="F186" s="187" t="s">
        <v>319</v>
      </c>
      <c r="G186" s="184">
        <f t="shared" si="2"/>
        <v>0</v>
      </c>
    </row>
    <row r="187" spans="1:7" x14ac:dyDescent="0.25">
      <c r="A187" s="187">
        <v>13300</v>
      </c>
      <c r="B187" s="194" t="s">
        <v>363</v>
      </c>
      <c r="C187" s="188"/>
      <c r="D187" s="188"/>
      <c r="E187" s="198">
        <v>13.05</v>
      </c>
      <c r="F187" s="196" t="s">
        <v>319</v>
      </c>
      <c r="G187" s="184">
        <f t="shared" si="2"/>
        <v>0</v>
      </c>
    </row>
    <row r="188" spans="1:7" x14ac:dyDescent="0.25">
      <c r="A188" s="187">
        <v>13310</v>
      </c>
      <c r="B188" s="194" t="s">
        <v>907</v>
      </c>
      <c r="C188" s="188"/>
      <c r="D188" s="188"/>
      <c r="E188" s="198">
        <v>18.52</v>
      </c>
      <c r="F188" s="196" t="s">
        <v>319</v>
      </c>
      <c r="G188" s="184">
        <f t="shared" si="2"/>
        <v>0</v>
      </c>
    </row>
    <row r="189" spans="1:7" x14ac:dyDescent="0.25">
      <c r="A189" s="187">
        <v>13310</v>
      </c>
      <c r="B189" s="194" t="s">
        <v>911</v>
      </c>
      <c r="C189" s="188"/>
      <c r="D189" s="188"/>
      <c r="E189" s="198"/>
      <c r="F189" s="196" t="s">
        <v>319</v>
      </c>
      <c r="G189" s="184">
        <f t="shared" si="2"/>
        <v>0</v>
      </c>
    </row>
    <row r="190" spans="1:7" x14ac:dyDescent="0.25">
      <c r="A190" s="187">
        <v>13360</v>
      </c>
      <c r="B190" s="194" t="s">
        <v>649</v>
      </c>
      <c r="C190" s="188"/>
      <c r="D190" s="188"/>
      <c r="E190" s="200">
        <v>34.338999999999999</v>
      </c>
      <c r="F190" s="196" t="s">
        <v>319</v>
      </c>
      <c r="G190" s="184">
        <f t="shared" si="2"/>
        <v>0</v>
      </c>
    </row>
    <row r="191" spans="1:7" x14ac:dyDescent="0.25">
      <c r="A191" s="187">
        <v>13370</v>
      </c>
      <c r="B191" s="194" t="s">
        <v>909</v>
      </c>
      <c r="C191" s="188"/>
      <c r="D191" s="188"/>
      <c r="E191" s="198">
        <v>5.0110000000000001</v>
      </c>
      <c r="F191" s="196" t="s">
        <v>319</v>
      </c>
      <c r="G191" s="184">
        <f t="shared" si="2"/>
        <v>0</v>
      </c>
    </row>
    <row r="192" spans="1:7" x14ac:dyDescent="0.25">
      <c r="A192" s="187">
        <v>13390</v>
      </c>
      <c r="B192" s="199" t="s">
        <v>650</v>
      </c>
      <c r="C192" s="188"/>
      <c r="D192" s="188"/>
      <c r="E192" s="195">
        <v>33.35</v>
      </c>
      <c r="F192" s="187" t="s">
        <v>319</v>
      </c>
      <c r="G192" s="184">
        <f t="shared" si="2"/>
        <v>0</v>
      </c>
    </row>
    <row r="193" spans="1:7" x14ac:dyDescent="0.25">
      <c r="A193" s="187">
        <v>13400</v>
      </c>
      <c r="B193" s="194" t="s">
        <v>910</v>
      </c>
      <c r="C193" s="188"/>
      <c r="D193" s="188"/>
      <c r="E193" s="198">
        <v>16.37</v>
      </c>
      <c r="F193" s="187" t="s">
        <v>319</v>
      </c>
      <c r="G193" s="184">
        <f t="shared" si="2"/>
        <v>0</v>
      </c>
    </row>
    <row r="194" spans="1:7" x14ac:dyDescent="0.25">
      <c r="A194" s="187">
        <v>13410</v>
      </c>
      <c r="B194" s="194" t="s">
        <v>651</v>
      </c>
      <c r="C194" s="188"/>
      <c r="D194" s="188"/>
      <c r="E194" s="195">
        <v>15.25</v>
      </c>
      <c r="F194" s="187" t="s">
        <v>319</v>
      </c>
      <c r="G194" s="184">
        <f t="shared" si="2"/>
        <v>0</v>
      </c>
    </row>
    <row r="195" spans="1:7" x14ac:dyDescent="0.25">
      <c r="A195" s="187">
        <v>15030</v>
      </c>
      <c r="B195" s="199" t="s">
        <v>383</v>
      </c>
      <c r="C195" s="190"/>
      <c r="D195" s="190">
        <v>5</v>
      </c>
      <c r="E195" s="189">
        <v>6.93</v>
      </c>
      <c r="F195" s="187" t="s">
        <v>319</v>
      </c>
      <c r="G195" s="184">
        <f t="shared" si="2"/>
        <v>34.65</v>
      </c>
    </row>
    <row r="196" spans="1:7" x14ac:dyDescent="0.25">
      <c r="A196" s="187">
        <v>15050</v>
      </c>
      <c r="B196" s="199" t="s">
        <v>384</v>
      </c>
      <c r="C196" s="188"/>
      <c r="D196" s="188"/>
      <c r="E196" s="189">
        <v>6.43</v>
      </c>
      <c r="F196" s="187" t="s">
        <v>319</v>
      </c>
      <c r="G196" s="184">
        <f t="shared" si="2"/>
        <v>0</v>
      </c>
    </row>
    <row r="197" spans="1:7" x14ac:dyDescent="0.25">
      <c r="A197" s="187">
        <v>15060</v>
      </c>
      <c r="B197" s="199" t="s">
        <v>385</v>
      </c>
      <c r="C197" s="188"/>
      <c r="D197" s="188"/>
      <c r="E197" s="189">
        <v>9.0500000000000007</v>
      </c>
      <c r="F197" s="187" t="s">
        <v>319</v>
      </c>
      <c r="G197" s="184">
        <f t="shared" si="2"/>
        <v>0</v>
      </c>
    </row>
    <row r="198" spans="1:7" x14ac:dyDescent="0.25">
      <c r="A198" s="187">
        <v>15070</v>
      </c>
      <c r="B198" s="199" t="s">
        <v>386</v>
      </c>
      <c r="C198" s="188"/>
      <c r="D198" s="188"/>
      <c r="E198" s="189">
        <v>9.69</v>
      </c>
      <c r="F198" s="187" t="s">
        <v>319</v>
      </c>
      <c r="G198" s="184">
        <f t="shared" si="2"/>
        <v>0</v>
      </c>
    </row>
    <row r="199" spans="1:7" x14ac:dyDescent="0.25">
      <c r="A199" s="187">
        <v>15080</v>
      </c>
      <c r="B199" s="199" t="s">
        <v>387</v>
      </c>
      <c r="C199" s="188"/>
      <c r="D199" s="188"/>
      <c r="E199" s="189">
        <v>14.7</v>
      </c>
      <c r="F199" s="187" t="s">
        <v>319</v>
      </c>
      <c r="G199" s="184">
        <f t="shared" si="2"/>
        <v>0</v>
      </c>
    </row>
    <row r="200" spans="1:7" x14ac:dyDescent="0.25">
      <c r="A200" s="187">
        <v>15090</v>
      </c>
      <c r="B200" s="199" t="s">
        <v>388</v>
      </c>
      <c r="C200" s="188"/>
      <c r="D200" s="188"/>
      <c r="E200" s="189">
        <v>15.96</v>
      </c>
      <c r="F200" s="187" t="s">
        <v>319</v>
      </c>
      <c r="G200" s="184">
        <f t="shared" si="2"/>
        <v>0</v>
      </c>
    </row>
    <row r="201" spans="1:7" x14ac:dyDescent="0.25">
      <c r="A201" s="187">
        <v>15100</v>
      </c>
      <c r="B201" s="199" t="s">
        <v>389</v>
      </c>
      <c r="C201" s="188"/>
      <c r="D201" s="188"/>
      <c r="E201" s="200">
        <v>20.84</v>
      </c>
      <c r="F201" s="187" t="s">
        <v>319</v>
      </c>
      <c r="G201" s="184">
        <f t="shared" si="2"/>
        <v>0</v>
      </c>
    </row>
    <row r="202" spans="1:7" x14ac:dyDescent="0.25">
      <c r="A202" s="187">
        <v>15110</v>
      </c>
      <c r="B202" s="199" t="s">
        <v>390</v>
      </c>
      <c r="C202" s="188"/>
      <c r="D202" s="188"/>
      <c r="E202" s="189">
        <v>22.8</v>
      </c>
      <c r="F202" s="187" t="s">
        <v>319</v>
      </c>
      <c r="G202" s="184">
        <f t="shared" si="2"/>
        <v>0</v>
      </c>
    </row>
    <row r="203" spans="1:7" x14ac:dyDescent="0.25">
      <c r="A203" s="192">
        <v>15120</v>
      </c>
      <c r="B203" s="199" t="s">
        <v>391</v>
      </c>
      <c r="C203" s="188"/>
      <c r="D203" s="188"/>
      <c r="E203" s="189">
        <v>35.82</v>
      </c>
      <c r="F203" s="187" t="s">
        <v>319</v>
      </c>
      <c r="G203" s="184">
        <f t="shared" si="2"/>
        <v>0</v>
      </c>
    </row>
    <row r="204" spans="1:7" x14ac:dyDescent="0.25">
      <c r="A204" s="187">
        <v>15130</v>
      </c>
      <c r="B204" s="199" t="s">
        <v>392</v>
      </c>
      <c r="C204" s="188"/>
      <c r="D204" s="188"/>
      <c r="E204" s="189">
        <v>36.85</v>
      </c>
      <c r="F204" s="187" t="s">
        <v>319</v>
      </c>
      <c r="G204" s="184">
        <f t="shared" ref="G204:G267" si="3">D204*E204</f>
        <v>0</v>
      </c>
    </row>
    <row r="205" spans="1:7" x14ac:dyDescent="0.25">
      <c r="A205" s="187">
        <v>15140</v>
      </c>
      <c r="B205" s="199" t="s">
        <v>393</v>
      </c>
      <c r="C205" s="188"/>
      <c r="D205" s="188"/>
      <c r="E205" s="200">
        <v>52.7</v>
      </c>
      <c r="F205" s="187" t="s">
        <v>319</v>
      </c>
      <c r="G205" s="184">
        <f t="shared" si="3"/>
        <v>0</v>
      </c>
    </row>
    <row r="206" spans="1:7" x14ac:dyDescent="0.25">
      <c r="A206" s="187">
        <v>15150</v>
      </c>
      <c r="B206" s="199" t="s">
        <v>394</v>
      </c>
      <c r="C206" s="191"/>
      <c r="D206" s="191">
        <v>3</v>
      </c>
      <c r="E206" s="200">
        <v>19.46</v>
      </c>
      <c r="F206" s="187" t="s">
        <v>319</v>
      </c>
      <c r="G206" s="184">
        <f t="shared" si="3"/>
        <v>58.38</v>
      </c>
    </row>
    <row r="207" spans="1:7" x14ac:dyDescent="0.25">
      <c r="A207" s="187">
        <v>15170</v>
      </c>
      <c r="B207" s="199" t="s">
        <v>395</v>
      </c>
      <c r="C207" s="188"/>
      <c r="D207" s="188"/>
      <c r="E207" s="200">
        <v>25.01</v>
      </c>
      <c r="F207" s="187" t="s">
        <v>319</v>
      </c>
      <c r="G207" s="184">
        <f t="shared" si="3"/>
        <v>0</v>
      </c>
    </row>
    <row r="208" spans="1:7" x14ac:dyDescent="0.25">
      <c r="A208" s="187">
        <v>15180</v>
      </c>
      <c r="B208" s="199" t="s">
        <v>396</v>
      </c>
      <c r="C208" s="188"/>
      <c r="D208" s="188"/>
      <c r="E208" s="200">
        <v>27.17</v>
      </c>
      <c r="F208" s="187" t="s">
        <v>319</v>
      </c>
      <c r="G208" s="184">
        <f t="shared" si="3"/>
        <v>0</v>
      </c>
    </row>
    <row r="209" spans="1:7" x14ac:dyDescent="0.25">
      <c r="A209" s="187">
        <v>15190</v>
      </c>
      <c r="B209" s="199" t="s">
        <v>912</v>
      </c>
      <c r="C209" s="191"/>
      <c r="D209" s="191">
        <v>1</v>
      </c>
      <c r="E209" s="189">
        <v>30.33</v>
      </c>
      <c r="F209" s="187" t="s">
        <v>319</v>
      </c>
      <c r="G209" s="184">
        <f t="shared" si="3"/>
        <v>30.33</v>
      </c>
    </row>
    <row r="210" spans="1:7" x14ac:dyDescent="0.25">
      <c r="A210" s="187">
        <v>15200</v>
      </c>
      <c r="B210" s="199" t="s">
        <v>397</v>
      </c>
      <c r="C210" s="188"/>
      <c r="D210" s="188"/>
      <c r="E210" s="200">
        <v>33.64</v>
      </c>
      <c r="F210" s="187" t="s">
        <v>319</v>
      </c>
      <c r="G210" s="184">
        <f t="shared" si="3"/>
        <v>0</v>
      </c>
    </row>
    <row r="211" spans="1:7" x14ac:dyDescent="0.25">
      <c r="A211" s="187">
        <v>15210</v>
      </c>
      <c r="B211" s="194" t="s">
        <v>398</v>
      </c>
      <c r="C211" s="188"/>
      <c r="D211" s="188"/>
      <c r="E211" s="200">
        <v>39.630000000000003</v>
      </c>
      <c r="F211" s="187" t="s">
        <v>319</v>
      </c>
      <c r="G211" s="184">
        <f t="shared" si="3"/>
        <v>0</v>
      </c>
    </row>
    <row r="212" spans="1:7" x14ac:dyDescent="0.25">
      <c r="A212" s="187">
        <v>15220</v>
      </c>
      <c r="B212" s="199" t="s">
        <v>399</v>
      </c>
      <c r="C212" s="188"/>
      <c r="D212" s="188"/>
      <c r="E212" s="200">
        <v>48.35</v>
      </c>
      <c r="F212" s="187" t="s">
        <v>319</v>
      </c>
      <c r="G212" s="184">
        <f t="shared" si="3"/>
        <v>0</v>
      </c>
    </row>
    <row r="213" spans="1:7" x14ac:dyDescent="0.25">
      <c r="A213" s="187">
        <v>15230</v>
      </c>
      <c r="B213" s="199" t="s">
        <v>400</v>
      </c>
      <c r="C213" s="188"/>
      <c r="D213" s="188"/>
      <c r="E213" s="200">
        <v>57.34</v>
      </c>
      <c r="F213" s="187" t="s">
        <v>319</v>
      </c>
      <c r="G213" s="184">
        <f t="shared" si="3"/>
        <v>0</v>
      </c>
    </row>
    <row r="214" spans="1:7" x14ac:dyDescent="0.25">
      <c r="A214" s="187">
        <v>15240</v>
      </c>
      <c r="B214" s="199" t="s">
        <v>401</v>
      </c>
      <c r="C214" s="188"/>
      <c r="D214" s="188"/>
      <c r="E214" s="200">
        <v>82.55</v>
      </c>
      <c r="F214" s="187" t="s">
        <v>319</v>
      </c>
      <c r="G214" s="184">
        <f t="shared" si="3"/>
        <v>0</v>
      </c>
    </row>
    <row r="215" spans="1:7" x14ac:dyDescent="0.25">
      <c r="A215" s="187">
        <v>15250</v>
      </c>
      <c r="B215" s="199" t="s">
        <v>402</v>
      </c>
      <c r="C215" s="188"/>
      <c r="D215" s="188"/>
      <c r="E215" s="200">
        <v>94.49</v>
      </c>
      <c r="F215" s="187" t="s">
        <v>319</v>
      </c>
      <c r="G215" s="184">
        <f t="shared" si="3"/>
        <v>0</v>
      </c>
    </row>
    <row r="216" spans="1:7" x14ac:dyDescent="0.25">
      <c r="A216" s="187">
        <v>15390</v>
      </c>
      <c r="B216" s="199" t="s">
        <v>403</v>
      </c>
      <c r="C216" s="190"/>
      <c r="D216" s="190"/>
      <c r="E216" s="200">
        <v>32.61</v>
      </c>
      <c r="F216" s="187" t="s">
        <v>319</v>
      </c>
      <c r="G216" s="184">
        <f t="shared" si="3"/>
        <v>0</v>
      </c>
    </row>
    <row r="217" spans="1:7" x14ac:dyDescent="0.25">
      <c r="A217" s="187">
        <v>15410</v>
      </c>
      <c r="B217" s="199" t="s">
        <v>404</v>
      </c>
      <c r="C217" s="190"/>
      <c r="D217" s="190"/>
      <c r="E217" s="200">
        <v>37.880000000000003</v>
      </c>
      <c r="F217" s="187" t="s">
        <v>319</v>
      </c>
      <c r="G217" s="184">
        <f t="shared" si="3"/>
        <v>0</v>
      </c>
    </row>
    <row r="218" spans="1:7" x14ac:dyDescent="0.25">
      <c r="A218" s="187">
        <v>15420</v>
      </c>
      <c r="B218" s="194" t="s">
        <v>405</v>
      </c>
      <c r="C218" s="190"/>
      <c r="D218" s="190"/>
      <c r="E218" s="187">
        <v>41.71</v>
      </c>
      <c r="F218" s="187" t="s">
        <v>319</v>
      </c>
      <c r="G218" s="184">
        <f t="shared" si="3"/>
        <v>0</v>
      </c>
    </row>
    <row r="219" spans="1:7" x14ac:dyDescent="0.25">
      <c r="A219" s="187">
        <v>15430</v>
      </c>
      <c r="B219" s="199" t="s">
        <v>406</v>
      </c>
      <c r="C219" s="190"/>
      <c r="D219" s="190"/>
      <c r="E219" s="187">
        <v>46.46</v>
      </c>
      <c r="F219" s="187" t="s">
        <v>319</v>
      </c>
      <c r="G219" s="184">
        <f t="shared" si="3"/>
        <v>0</v>
      </c>
    </row>
    <row r="220" spans="1:7" x14ac:dyDescent="0.25">
      <c r="A220" s="187">
        <v>15440</v>
      </c>
      <c r="B220" s="199" t="s">
        <v>407</v>
      </c>
      <c r="C220" s="188"/>
      <c r="D220" s="188"/>
      <c r="E220" s="187">
        <v>51.22</v>
      </c>
      <c r="F220" s="187" t="s">
        <v>652</v>
      </c>
      <c r="G220" s="184">
        <f t="shared" si="3"/>
        <v>0</v>
      </c>
    </row>
    <row r="221" spans="1:7" x14ac:dyDescent="0.25">
      <c r="A221" s="187">
        <v>15450</v>
      </c>
      <c r="B221" s="199" t="s">
        <v>408</v>
      </c>
      <c r="C221" s="188"/>
      <c r="D221" s="188"/>
      <c r="E221" s="187">
        <v>56.42</v>
      </c>
      <c r="F221" s="187" t="s">
        <v>319</v>
      </c>
      <c r="G221" s="184">
        <f t="shared" si="3"/>
        <v>0</v>
      </c>
    </row>
    <row r="222" spans="1:7" x14ac:dyDescent="0.25">
      <c r="A222" s="187">
        <v>15460</v>
      </c>
      <c r="B222" s="199" t="s">
        <v>409</v>
      </c>
      <c r="C222" s="190"/>
      <c r="D222" s="190"/>
      <c r="E222" s="187">
        <v>69.27</v>
      </c>
      <c r="F222" s="187" t="s">
        <v>319</v>
      </c>
      <c r="G222" s="184">
        <f t="shared" si="3"/>
        <v>0</v>
      </c>
    </row>
    <row r="223" spans="1:7" x14ac:dyDescent="0.25">
      <c r="A223" s="187">
        <v>15470</v>
      </c>
      <c r="B223" s="199" t="s">
        <v>410</v>
      </c>
      <c r="C223" s="188"/>
      <c r="D223" s="188"/>
      <c r="E223" s="187">
        <v>85.22</v>
      </c>
      <c r="F223" s="187" t="s">
        <v>319</v>
      </c>
      <c r="G223" s="184">
        <f t="shared" si="3"/>
        <v>0</v>
      </c>
    </row>
    <row r="224" spans="1:7" x14ac:dyDescent="0.25">
      <c r="A224" s="187">
        <v>15480</v>
      </c>
      <c r="B224" s="199" t="s">
        <v>411</v>
      </c>
      <c r="C224" s="188"/>
      <c r="D224" s="188"/>
      <c r="E224" s="187">
        <v>98.78</v>
      </c>
      <c r="F224" s="187" t="s">
        <v>319</v>
      </c>
      <c r="G224" s="184">
        <f t="shared" si="3"/>
        <v>0</v>
      </c>
    </row>
    <row r="225" spans="1:7" x14ac:dyDescent="0.25">
      <c r="A225" s="187">
        <v>15490</v>
      </c>
      <c r="B225" s="199" t="s">
        <v>412</v>
      </c>
      <c r="C225" s="188"/>
      <c r="D225" s="188"/>
      <c r="E225" s="196">
        <v>124.71</v>
      </c>
      <c r="F225" s="187" t="s">
        <v>319</v>
      </c>
      <c r="G225" s="184">
        <f t="shared" si="3"/>
        <v>0</v>
      </c>
    </row>
    <row r="226" spans="1:7" x14ac:dyDescent="0.25">
      <c r="A226" s="187">
        <v>15500</v>
      </c>
      <c r="B226" s="199" t="s">
        <v>413</v>
      </c>
      <c r="C226" s="188"/>
      <c r="D226" s="188"/>
      <c r="E226" s="196">
        <v>124.71</v>
      </c>
      <c r="F226" s="187" t="s">
        <v>319</v>
      </c>
      <c r="G226" s="184">
        <f t="shared" si="3"/>
        <v>0</v>
      </c>
    </row>
    <row r="227" spans="1:7" x14ac:dyDescent="0.25">
      <c r="A227" s="187">
        <v>15390</v>
      </c>
      <c r="B227" s="199" t="s">
        <v>414</v>
      </c>
      <c r="C227" s="190"/>
      <c r="D227" s="190">
        <v>1</v>
      </c>
      <c r="E227" s="200">
        <v>32.61</v>
      </c>
      <c r="F227" s="187" t="s">
        <v>319</v>
      </c>
      <c r="G227" s="184">
        <f t="shared" si="3"/>
        <v>32.61</v>
      </c>
    </row>
    <row r="228" spans="1:7" x14ac:dyDescent="0.25">
      <c r="A228" s="187">
        <v>15410</v>
      </c>
      <c r="B228" s="199" t="s">
        <v>415</v>
      </c>
      <c r="C228" s="190"/>
      <c r="D228" s="190">
        <v>2</v>
      </c>
      <c r="E228" s="200">
        <v>37.880000000000003</v>
      </c>
      <c r="F228" s="187" t="s">
        <v>319</v>
      </c>
      <c r="G228" s="184">
        <f t="shared" si="3"/>
        <v>75.760000000000005</v>
      </c>
    </row>
    <row r="229" spans="1:7" x14ac:dyDescent="0.25">
      <c r="A229" s="187">
        <v>15420</v>
      </c>
      <c r="B229" s="194" t="s">
        <v>416</v>
      </c>
      <c r="C229" s="190"/>
      <c r="D229" s="190">
        <v>1</v>
      </c>
      <c r="E229" s="187">
        <v>41.71</v>
      </c>
      <c r="F229" s="188" t="s">
        <v>319</v>
      </c>
      <c r="G229" s="184">
        <f t="shared" si="3"/>
        <v>41.71</v>
      </c>
    </row>
    <row r="230" spans="1:7" x14ac:dyDescent="0.25">
      <c r="A230" s="187">
        <v>15430</v>
      </c>
      <c r="B230" s="199" t="s">
        <v>417</v>
      </c>
      <c r="C230" s="190"/>
      <c r="D230" s="190">
        <v>3</v>
      </c>
      <c r="E230" s="187">
        <v>46.46</v>
      </c>
      <c r="F230" s="187" t="s">
        <v>319</v>
      </c>
      <c r="G230" s="184">
        <f t="shared" si="3"/>
        <v>139.38</v>
      </c>
    </row>
    <row r="231" spans="1:7" x14ac:dyDescent="0.25">
      <c r="A231" s="187">
        <v>15440</v>
      </c>
      <c r="B231" s="199" t="s">
        <v>418</v>
      </c>
      <c r="C231" s="188"/>
      <c r="D231" s="188"/>
      <c r="E231" s="187">
        <v>51.22</v>
      </c>
      <c r="F231" s="187" t="s">
        <v>652</v>
      </c>
      <c r="G231" s="184">
        <f t="shared" si="3"/>
        <v>0</v>
      </c>
    </row>
    <row r="232" spans="1:7" x14ac:dyDescent="0.25">
      <c r="A232" s="187">
        <v>15450</v>
      </c>
      <c r="B232" s="199" t="s">
        <v>419</v>
      </c>
      <c r="C232" s="188"/>
      <c r="D232" s="188"/>
      <c r="E232" s="187">
        <v>56.42</v>
      </c>
      <c r="F232" s="187" t="s">
        <v>319</v>
      </c>
      <c r="G232" s="184">
        <f t="shared" si="3"/>
        <v>0</v>
      </c>
    </row>
    <row r="233" spans="1:7" x14ac:dyDescent="0.25">
      <c r="A233" s="187">
        <v>15460</v>
      </c>
      <c r="B233" s="199" t="s">
        <v>420</v>
      </c>
      <c r="C233" s="190"/>
      <c r="D233" s="190">
        <v>2</v>
      </c>
      <c r="E233" s="187">
        <v>69.27</v>
      </c>
      <c r="F233" s="187" t="s">
        <v>319</v>
      </c>
      <c r="G233" s="184">
        <f t="shared" si="3"/>
        <v>138.54</v>
      </c>
    </row>
    <row r="234" spans="1:7" x14ac:dyDescent="0.25">
      <c r="A234" s="187">
        <v>15470</v>
      </c>
      <c r="B234" s="199" t="s">
        <v>421</v>
      </c>
      <c r="C234" s="188"/>
      <c r="D234" s="188"/>
      <c r="E234" s="187">
        <v>85.22</v>
      </c>
      <c r="F234" s="187" t="s">
        <v>319</v>
      </c>
      <c r="G234" s="184">
        <f t="shared" si="3"/>
        <v>0</v>
      </c>
    </row>
    <row r="235" spans="1:7" x14ac:dyDescent="0.25">
      <c r="A235" s="187">
        <v>15480</v>
      </c>
      <c r="B235" s="199" t="s">
        <v>422</v>
      </c>
      <c r="C235" s="188"/>
      <c r="D235" s="188"/>
      <c r="E235" s="187">
        <v>98.78</v>
      </c>
      <c r="F235" s="187" t="s">
        <v>319</v>
      </c>
      <c r="G235" s="184">
        <f t="shared" si="3"/>
        <v>0</v>
      </c>
    </row>
    <row r="236" spans="1:7" x14ac:dyDescent="0.25">
      <c r="A236" s="187">
        <v>15490</v>
      </c>
      <c r="B236" s="199" t="s">
        <v>423</v>
      </c>
      <c r="C236" s="188"/>
      <c r="D236" s="188"/>
      <c r="E236" s="196">
        <v>124.71</v>
      </c>
      <c r="F236" s="187" t="s">
        <v>319</v>
      </c>
      <c r="G236" s="184">
        <f t="shared" si="3"/>
        <v>0</v>
      </c>
    </row>
    <row r="237" spans="1:7" x14ac:dyDescent="0.25">
      <c r="A237" s="187">
        <v>15500</v>
      </c>
      <c r="B237" s="199" t="s">
        <v>424</v>
      </c>
      <c r="C237" s="188"/>
      <c r="D237" s="188"/>
      <c r="E237" s="196">
        <v>124.71</v>
      </c>
      <c r="F237" s="187" t="s">
        <v>319</v>
      </c>
      <c r="G237" s="184">
        <f t="shared" si="3"/>
        <v>0</v>
      </c>
    </row>
    <row r="238" spans="1:7" x14ac:dyDescent="0.25">
      <c r="A238" s="187">
        <v>20000</v>
      </c>
      <c r="B238" s="199" t="s">
        <v>425</v>
      </c>
      <c r="C238" s="190"/>
      <c r="D238" s="190">
        <v>4</v>
      </c>
      <c r="E238" s="189">
        <v>5.24</v>
      </c>
      <c r="F238" s="187" t="s">
        <v>319</v>
      </c>
      <c r="G238" s="184">
        <f t="shared" si="3"/>
        <v>20.96</v>
      </c>
    </row>
    <row r="239" spans="1:7" x14ac:dyDescent="0.25">
      <c r="A239" s="187">
        <v>20010</v>
      </c>
      <c r="B239" s="199" t="s">
        <v>426</v>
      </c>
      <c r="C239" s="188"/>
      <c r="D239" s="188"/>
      <c r="E239" s="189">
        <v>0.81</v>
      </c>
      <c r="F239" s="187" t="s">
        <v>319</v>
      </c>
      <c r="G239" s="184">
        <f t="shared" si="3"/>
        <v>0</v>
      </c>
    </row>
    <row r="240" spans="1:7" x14ac:dyDescent="0.25">
      <c r="A240" s="187">
        <v>20020</v>
      </c>
      <c r="B240" s="199" t="s">
        <v>427</v>
      </c>
      <c r="C240" s="190"/>
      <c r="D240" s="190">
        <v>4</v>
      </c>
      <c r="E240" s="189">
        <v>0.26</v>
      </c>
      <c r="F240" s="187" t="s">
        <v>319</v>
      </c>
      <c r="G240" s="184">
        <f t="shared" si="3"/>
        <v>1.04</v>
      </c>
    </row>
    <row r="241" spans="1:7" x14ac:dyDescent="0.25">
      <c r="A241" s="187">
        <v>20025</v>
      </c>
      <c r="B241" s="199" t="s">
        <v>653</v>
      </c>
      <c r="C241" s="190"/>
      <c r="D241" s="190">
        <v>2</v>
      </c>
      <c r="E241" s="201">
        <v>0.43</v>
      </c>
      <c r="F241" s="192" t="s">
        <v>319</v>
      </c>
      <c r="G241" s="184">
        <f t="shared" si="3"/>
        <v>0.86</v>
      </c>
    </row>
    <row r="242" spans="1:7" x14ac:dyDescent="0.25">
      <c r="A242" s="187">
        <v>20030</v>
      </c>
      <c r="B242" s="199" t="s">
        <v>428</v>
      </c>
      <c r="C242" s="190"/>
      <c r="D242" s="190">
        <v>2</v>
      </c>
      <c r="E242" s="197">
        <v>0.26</v>
      </c>
      <c r="F242" s="192" t="s">
        <v>319</v>
      </c>
      <c r="G242" s="184">
        <f t="shared" si="3"/>
        <v>0.52</v>
      </c>
    </row>
    <row r="243" spans="1:7" x14ac:dyDescent="0.25">
      <c r="A243" s="187">
        <v>20040</v>
      </c>
      <c r="B243" s="199" t="s">
        <v>429</v>
      </c>
      <c r="C243" s="190"/>
      <c r="D243" s="190">
        <v>2</v>
      </c>
      <c r="E243" s="197">
        <v>0.34</v>
      </c>
      <c r="F243" s="196" t="s">
        <v>319</v>
      </c>
      <c r="G243" s="184">
        <f t="shared" si="3"/>
        <v>0.68</v>
      </c>
    </row>
    <row r="244" spans="1:7" x14ac:dyDescent="0.25">
      <c r="A244" s="187">
        <v>20050</v>
      </c>
      <c r="B244" s="199" t="s">
        <v>430</v>
      </c>
      <c r="C244" s="191"/>
      <c r="D244" s="191">
        <v>1</v>
      </c>
      <c r="E244" s="197">
        <v>0.26</v>
      </c>
      <c r="F244" s="196" t="s">
        <v>319</v>
      </c>
      <c r="G244" s="184">
        <f t="shared" si="3"/>
        <v>0.26</v>
      </c>
    </row>
    <row r="245" spans="1:7" x14ac:dyDescent="0.25">
      <c r="A245" s="187">
        <v>20060</v>
      </c>
      <c r="B245" s="199" t="s">
        <v>431</v>
      </c>
      <c r="C245" s="188"/>
      <c r="D245" s="188"/>
      <c r="E245" s="197">
        <v>0.44</v>
      </c>
      <c r="F245" s="187" t="s">
        <v>319</v>
      </c>
      <c r="G245" s="184">
        <f t="shared" si="3"/>
        <v>0</v>
      </c>
    </row>
    <row r="246" spans="1:7" x14ac:dyDescent="0.25">
      <c r="A246" s="187">
        <v>20070</v>
      </c>
      <c r="B246" s="199" t="s">
        <v>432</v>
      </c>
      <c r="C246" s="190"/>
      <c r="D246" s="190">
        <v>2</v>
      </c>
      <c r="E246" s="197">
        <v>0.34</v>
      </c>
      <c r="F246" s="187" t="s">
        <v>319</v>
      </c>
      <c r="G246" s="184">
        <f t="shared" si="3"/>
        <v>0.68</v>
      </c>
    </row>
    <row r="247" spans="1:7" x14ac:dyDescent="0.25">
      <c r="A247" s="187">
        <v>20081</v>
      </c>
      <c r="B247" s="199" t="s">
        <v>654</v>
      </c>
      <c r="C247" s="190"/>
      <c r="D247" s="190">
        <v>1</v>
      </c>
      <c r="E247" s="197">
        <v>2.4900000000000002</v>
      </c>
      <c r="F247" s="187" t="s">
        <v>319</v>
      </c>
      <c r="G247" s="184">
        <f t="shared" si="3"/>
        <v>2.4900000000000002</v>
      </c>
    </row>
    <row r="248" spans="1:7" x14ac:dyDescent="0.25">
      <c r="A248" s="187">
        <v>20083</v>
      </c>
      <c r="B248" s="199" t="s">
        <v>913</v>
      </c>
      <c r="C248" s="188"/>
      <c r="D248" s="188"/>
      <c r="E248" s="189">
        <v>16.899999999999999</v>
      </c>
      <c r="F248" s="187" t="s">
        <v>319</v>
      </c>
      <c r="G248" s="184">
        <f t="shared" si="3"/>
        <v>0</v>
      </c>
    </row>
    <row r="249" spans="1:7" x14ac:dyDescent="0.25">
      <c r="A249" s="187">
        <v>20084</v>
      </c>
      <c r="B249" s="199" t="s">
        <v>655</v>
      </c>
      <c r="C249" s="188"/>
      <c r="D249" s="188"/>
      <c r="E249" s="189">
        <v>1.5</v>
      </c>
      <c r="F249" s="187" t="s">
        <v>319</v>
      </c>
      <c r="G249" s="184">
        <f t="shared" si="3"/>
        <v>0</v>
      </c>
    </row>
    <row r="250" spans="1:7" x14ac:dyDescent="0.25">
      <c r="A250" s="187">
        <v>20085</v>
      </c>
      <c r="B250" s="199" t="s">
        <v>656</v>
      </c>
      <c r="C250" s="188"/>
      <c r="D250" s="188"/>
      <c r="E250" s="189">
        <v>0.9</v>
      </c>
      <c r="F250" s="187" t="s">
        <v>319</v>
      </c>
      <c r="G250" s="184">
        <f t="shared" si="3"/>
        <v>0</v>
      </c>
    </row>
    <row r="251" spans="1:7" x14ac:dyDescent="0.25">
      <c r="A251" s="187">
        <v>20086</v>
      </c>
      <c r="B251" s="199" t="s">
        <v>435</v>
      </c>
      <c r="C251" s="188"/>
      <c r="D251" s="188"/>
      <c r="E251" s="189">
        <v>0.79</v>
      </c>
      <c r="F251" s="187" t="s">
        <v>652</v>
      </c>
      <c r="G251" s="184">
        <f t="shared" si="3"/>
        <v>0</v>
      </c>
    </row>
    <row r="252" spans="1:7" x14ac:dyDescent="0.25">
      <c r="A252" s="187">
        <v>20087</v>
      </c>
      <c r="B252" s="199" t="s">
        <v>657</v>
      </c>
      <c r="C252" s="188"/>
      <c r="D252" s="188"/>
      <c r="E252" s="189">
        <v>1.37</v>
      </c>
      <c r="F252" s="187" t="s">
        <v>319</v>
      </c>
      <c r="G252" s="184">
        <f t="shared" si="3"/>
        <v>0</v>
      </c>
    </row>
    <row r="253" spans="1:7" x14ac:dyDescent="0.25">
      <c r="A253" s="187">
        <v>20088</v>
      </c>
      <c r="B253" s="199" t="s">
        <v>658</v>
      </c>
      <c r="C253" s="188"/>
      <c r="D253" s="188"/>
      <c r="E253" s="189">
        <v>1.04</v>
      </c>
      <c r="F253" s="187" t="s">
        <v>319</v>
      </c>
      <c r="G253" s="184">
        <f t="shared" si="3"/>
        <v>0</v>
      </c>
    </row>
    <row r="254" spans="1:7" x14ac:dyDescent="0.25">
      <c r="A254" s="187">
        <v>20090</v>
      </c>
      <c r="B254" s="199" t="s">
        <v>659</v>
      </c>
      <c r="C254" s="188"/>
      <c r="D254" s="188"/>
      <c r="E254" s="189">
        <v>22.75</v>
      </c>
      <c r="F254" s="187" t="s">
        <v>319</v>
      </c>
      <c r="G254" s="184">
        <f t="shared" si="3"/>
        <v>0</v>
      </c>
    </row>
    <row r="255" spans="1:7" x14ac:dyDescent="0.25">
      <c r="A255" s="187">
        <v>20100</v>
      </c>
      <c r="B255" s="199" t="s">
        <v>660</v>
      </c>
      <c r="C255" s="188"/>
      <c r="D255" s="188"/>
      <c r="E255" s="189">
        <v>2.58</v>
      </c>
      <c r="F255" s="187" t="s">
        <v>319</v>
      </c>
      <c r="G255" s="184">
        <f t="shared" si="3"/>
        <v>0</v>
      </c>
    </row>
    <row r="256" spans="1:7" x14ac:dyDescent="0.25">
      <c r="A256" s="187">
        <v>20110</v>
      </c>
      <c r="B256" s="199" t="s">
        <v>661</v>
      </c>
      <c r="C256" s="188"/>
      <c r="D256" s="188"/>
      <c r="E256" s="190">
        <v>2.58</v>
      </c>
      <c r="F256" s="187" t="s">
        <v>319</v>
      </c>
      <c r="G256" s="184">
        <f t="shared" si="3"/>
        <v>0</v>
      </c>
    </row>
    <row r="257" spans="1:7" x14ac:dyDescent="0.25">
      <c r="A257" s="187">
        <v>20120</v>
      </c>
      <c r="B257" s="199" t="s">
        <v>662</v>
      </c>
      <c r="C257" s="188"/>
      <c r="D257" s="188"/>
      <c r="E257" s="189">
        <v>1.8720000000000001</v>
      </c>
      <c r="F257" s="187" t="s">
        <v>319</v>
      </c>
      <c r="G257" s="184">
        <f t="shared" si="3"/>
        <v>0</v>
      </c>
    </row>
    <row r="258" spans="1:7" x14ac:dyDescent="0.25">
      <c r="A258" s="187">
        <v>20130</v>
      </c>
      <c r="B258" s="199" t="s">
        <v>436</v>
      </c>
      <c r="C258" s="188"/>
      <c r="D258" s="188"/>
      <c r="E258" s="189">
        <v>0.83</v>
      </c>
      <c r="F258" s="187" t="s">
        <v>319</v>
      </c>
      <c r="G258" s="184">
        <f t="shared" si="3"/>
        <v>0</v>
      </c>
    </row>
    <row r="259" spans="1:7" x14ac:dyDescent="0.25">
      <c r="A259" s="187">
        <v>20134</v>
      </c>
      <c r="B259" s="199" t="s">
        <v>433</v>
      </c>
      <c r="C259" s="188"/>
      <c r="D259" s="188"/>
      <c r="E259" s="189">
        <v>32.549999999999997</v>
      </c>
      <c r="F259" s="187" t="s">
        <v>319</v>
      </c>
      <c r="G259" s="184">
        <f t="shared" si="3"/>
        <v>0</v>
      </c>
    </row>
    <row r="260" spans="1:7" x14ac:dyDescent="0.25">
      <c r="A260" s="187">
        <v>20131</v>
      </c>
      <c r="B260" s="199" t="s">
        <v>663</v>
      </c>
      <c r="C260" s="188"/>
      <c r="D260" s="188"/>
      <c r="E260" s="189">
        <v>6.47</v>
      </c>
      <c r="F260" s="187" t="s">
        <v>319</v>
      </c>
      <c r="G260" s="184">
        <f t="shared" si="3"/>
        <v>0</v>
      </c>
    </row>
    <row r="261" spans="1:7" x14ac:dyDescent="0.25">
      <c r="A261" s="187">
        <v>20132</v>
      </c>
      <c r="B261" s="199" t="s">
        <v>434</v>
      </c>
      <c r="C261" s="188"/>
      <c r="D261" s="188"/>
      <c r="E261" s="189">
        <v>8.6259999999999994</v>
      </c>
      <c r="F261" s="187" t="s">
        <v>319</v>
      </c>
      <c r="G261" s="184">
        <f t="shared" si="3"/>
        <v>0</v>
      </c>
    </row>
    <row r="262" spans="1:7" x14ac:dyDescent="0.25">
      <c r="A262" s="187">
        <v>20133</v>
      </c>
      <c r="B262" s="199" t="s">
        <v>664</v>
      </c>
      <c r="C262" s="188"/>
      <c r="D262" s="188"/>
      <c r="E262" s="189">
        <v>4.2939999999999996</v>
      </c>
      <c r="F262" s="187" t="s">
        <v>319</v>
      </c>
      <c r="G262" s="184">
        <f t="shared" si="3"/>
        <v>0</v>
      </c>
    </row>
    <row r="263" spans="1:7" x14ac:dyDescent="0.25">
      <c r="A263" s="187">
        <v>20250</v>
      </c>
      <c r="B263" s="202" t="s">
        <v>914</v>
      </c>
      <c r="C263" s="188"/>
      <c r="D263" s="188"/>
      <c r="E263" s="189">
        <v>21.5</v>
      </c>
      <c r="F263" s="187" t="s">
        <v>319</v>
      </c>
      <c r="G263" s="184">
        <f t="shared" si="3"/>
        <v>0</v>
      </c>
    </row>
    <row r="264" spans="1:7" x14ac:dyDescent="0.25">
      <c r="A264" s="187">
        <v>20260</v>
      </c>
      <c r="B264" s="199" t="s">
        <v>915</v>
      </c>
      <c r="C264" s="191"/>
      <c r="D264" s="191">
        <v>1</v>
      </c>
      <c r="E264" s="189">
        <v>21</v>
      </c>
      <c r="F264" s="187" t="s">
        <v>319</v>
      </c>
      <c r="G264" s="184">
        <f t="shared" si="3"/>
        <v>21</v>
      </c>
    </row>
    <row r="265" spans="1:7" x14ac:dyDescent="0.25">
      <c r="A265" s="187">
        <v>20270</v>
      </c>
      <c r="B265" s="199" t="s">
        <v>665</v>
      </c>
      <c r="C265" s="191"/>
      <c r="D265" s="191">
        <v>1</v>
      </c>
      <c r="E265" s="189">
        <v>12.9</v>
      </c>
      <c r="F265" s="187" t="s">
        <v>319</v>
      </c>
      <c r="G265" s="184">
        <f t="shared" si="3"/>
        <v>12.9</v>
      </c>
    </row>
    <row r="266" spans="1:7" x14ac:dyDescent="0.25">
      <c r="A266" s="187">
        <v>20280</v>
      </c>
      <c r="B266" s="199" t="s">
        <v>440</v>
      </c>
      <c r="C266" s="188"/>
      <c r="D266" s="188"/>
      <c r="E266" s="189">
        <v>95.94</v>
      </c>
      <c r="F266" s="187" t="s">
        <v>319</v>
      </c>
      <c r="G266" s="184">
        <f t="shared" si="3"/>
        <v>0</v>
      </c>
    </row>
    <row r="267" spans="1:7" x14ac:dyDescent="0.25">
      <c r="A267" s="187">
        <v>20290</v>
      </c>
      <c r="B267" s="199" t="s">
        <v>666</v>
      </c>
      <c r="C267" s="190"/>
      <c r="D267" s="190">
        <v>1</v>
      </c>
      <c r="E267" s="189">
        <v>62</v>
      </c>
      <c r="F267" s="187" t="s">
        <v>319</v>
      </c>
      <c r="G267" s="184">
        <f t="shared" si="3"/>
        <v>62</v>
      </c>
    </row>
    <row r="268" spans="1:7" x14ac:dyDescent="0.25">
      <c r="A268" s="187">
        <v>20310</v>
      </c>
      <c r="B268" s="199" t="s">
        <v>667</v>
      </c>
      <c r="C268" s="188"/>
      <c r="D268" s="188"/>
      <c r="E268" s="189">
        <v>47.93</v>
      </c>
      <c r="F268" s="187" t="s">
        <v>319</v>
      </c>
      <c r="G268" s="184">
        <f t="shared" ref="G268:G331" si="4">D268*E268</f>
        <v>0</v>
      </c>
    </row>
    <row r="269" spans="1:7" x14ac:dyDescent="0.25">
      <c r="A269" s="187">
        <v>20320</v>
      </c>
      <c r="B269" s="199" t="s">
        <v>668</v>
      </c>
      <c r="C269" s="190"/>
      <c r="D269" s="190">
        <v>1</v>
      </c>
      <c r="E269" s="189">
        <v>32.950000000000003</v>
      </c>
      <c r="F269" s="187" t="s">
        <v>319</v>
      </c>
      <c r="G269" s="184">
        <f t="shared" si="4"/>
        <v>32.950000000000003</v>
      </c>
    </row>
    <row r="270" spans="1:7" x14ac:dyDescent="0.25">
      <c r="A270" s="187">
        <v>20330</v>
      </c>
      <c r="B270" s="199" t="s">
        <v>669</v>
      </c>
      <c r="C270" s="188"/>
      <c r="D270" s="188"/>
      <c r="E270" s="189">
        <v>65.739999999999995</v>
      </c>
      <c r="F270" s="187" t="s">
        <v>319</v>
      </c>
      <c r="G270" s="184">
        <f t="shared" si="4"/>
        <v>0</v>
      </c>
    </row>
    <row r="271" spans="1:7" x14ac:dyDescent="0.25">
      <c r="A271" s="187">
        <v>21000</v>
      </c>
      <c r="B271" s="199" t="s">
        <v>673</v>
      </c>
      <c r="C271" s="190"/>
      <c r="D271" s="190">
        <v>3</v>
      </c>
      <c r="E271" s="189">
        <v>6.7</v>
      </c>
      <c r="F271" s="187" t="s">
        <v>319</v>
      </c>
      <c r="G271" s="184">
        <f t="shared" si="4"/>
        <v>20.100000000000001</v>
      </c>
    </row>
    <row r="272" spans="1:7" x14ac:dyDescent="0.25">
      <c r="A272" s="187">
        <v>21010</v>
      </c>
      <c r="B272" s="199" t="s">
        <v>674</v>
      </c>
      <c r="C272" s="188"/>
      <c r="D272" s="188"/>
      <c r="E272" s="195">
        <v>12.88</v>
      </c>
      <c r="F272" s="187" t="s">
        <v>319</v>
      </c>
      <c r="G272" s="184">
        <f t="shared" si="4"/>
        <v>0</v>
      </c>
    </row>
    <row r="273" spans="1:7" x14ac:dyDescent="0.25">
      <c r="A273" s="187">
        <v>21020</v>
      </c>
      <c r="B273" s="199" t="s">
        <v>675</v>
      </c>
      <c r="C273" s="190"/>
      <c r="D273" s="190">
        <v>3</v>
      </c>
      <c r="E273" s="189">
        <v>11.95</v>
      </c>
      <c r="F273" s="187" t="s">
        <v>319</v>
      </c>
      <c r="G273" s="184">
        <f t="shared" si="4"/>
        <v>35.849999999999994</v>
      </c>
    </row>
    <row r="274" spans="1:7" x14ac:dyDescent="0.25">
      <c r="A274" s="187">
        <v>21030</v>
      </c>
      <c r="B274" s="199" t="s">
        <v>676</v>
      </c>
      <c r="C274" s="188"/>
      <c r="D274" s="188"/>
      <c r="E274" s="189">
        <v>27.08</v>
      </c>
      <c r="F274" s="187" t="s">
        <v>319</v>
      </c>
      <c r="G274" s="184">
        <f t="shared" si="4"/>
        <v>0</v>
      </c>
    </row>
    <row r="275" spans="1:7" x14ac:dyDescent="0.25">
      <c r="A275" s="187">
        <v>21040</v>
      </c>
      <c r="B275" s="199" t="s">
        <v>677</v>
      </c>
      <c r="C275" s="188"/>
      <c r="D275" s="188"/>
      <c r="E275" s="188"/>
      <c r="F275" s="187" t="s">
        <v>319</v>
      </c>
      <c r="G275" s="184">
        <f t="shared" si="4"/>
        <v>0</v>
      </c>
    </row>
    <row r="276" spans="1:7" x14ac:dyDescent="0.25">
      <c r="A276" s="187">
        <v>21050</v>
      </c>
      <c r="B276" s="199" t="s">
        <v>678</v>
      </c>
      <c r="C276" s="188"/>
      <c r="D276" s="188"/>
      <c r="E276" s="188"/>
      <c r="F276" s="187" t="s">
        <v>319</v>
      </c>
      <c r="G276" s="184">
        <f t="shared" si="4"/>
        <v>0</v>
      </c>
    </row>
    <row r="277" spans="1:7" x14ac:dyDescent="0.25">
      <c r="A277" s="187">
        <v>21055</v>
      </c>
      <c r="B277" s="199" t="s">
        <v>679</v>
      </c>
      <c r="C277" s="188"/>
      <c r="D277" s="188"/>
      <c r="E277" s="189">
        <v>30.75</v>
      </c>
      <c r="F277" s="187" t="s">
        <v>319</v>
      </c>
      <c r="G277" s="184">
        <f t="shared" si="4"/>
        <v>0</v>
      </c>
    </row>
    <row r="278" spans="1:7" x14ac:dyDescent="0.25">
      <c r="A278" s="187">
        <v>21060</v>
      </c>
      <c r="B278" s="199" t="s">
        <v>680</v>
      </c>
      <c r="C278" s="188"/>
      <c r="D278" s="188"/>
      <c r="E278" s="189">
        <v>10.82</v>
      </c>
      <c r="F278" s="187" t="s">
        <v>319</v>
      </c>
      <c r="G278" s="184">
        <f t="shared" si="4"/>
        <v>0</v>
      </c>
    </row>
    <row r="279" spans="1:7" x14ac:dyDescent="0.25">
      <c r="A279" s="187">
        <v>21070</v>
      </c>
      <c r="B279" s="199" t="s">
        <v>681</v>
      </c>
      <c r="C279" s="188"/>
      <c r="D279" s="188"/>
      <c r="E279" s="189">
        <v>39.659999999999997</v>
      </c>
      <c r="F279" s="187" t="s">
        <v>319</v>
      </c>
      <c r="G279" s="184">
        <f t="shared" si="4"/>
        <v>0</v>
      </c>
    </row>
    <row r="280" spans="1:7" x14ac:dyDescent="0.25">
      <c r="A280" s="187">
        <v>21075</v>
      </c>
      <c r="B280" s="199" t="s">
        <v>917</v>
      </c>
      <c r="C280" s="187"/>
      <c r="D280" s="187"/>
      <c r="E280" s="196">
        <v>103.563</v>
      </c>
      <c r="F280" s="187" t="s">
        <v>319</v>
      </c>
      <c r="G280" s="184">
        <f t="shared" si="4"/>
        <v>0</v>
      </c>
    </row>
    <row r="281" spans="1:7" x14ac:dyDescent="0.25">
      <c r="A281" s="187">
        <v>21080</v>
      </c>
      <c r="B281" s="199" t="s">
        <v>916</v>
      </c>
      <c r="C281" s="188"/>
      <c r="D281" s="188"/>
      <c r="E281" s="189">
        <v>91.5</v>
      </c>
      <c r="F281" s="187" t="s">
        <v>319</v>
      </c>
      <c r="G281" s="184">
        <f t="shared" si="4"/>
        <v>0</v>
      </c>
    </row>
    <row r="282" spans="1:7" x14ac:dyDescent="0.25">
      <c r="A282" s="187">
        <v>21090</v>
      </c>
      <c r="B282" s="199" t="s">
        <v>682</v>
      </c>
      <c r="C282" s="187"/>
      <c r="D282" s="187"/>
      <c r="E282" s="188"/>
      <c r="F282" s="187" t="s">
        <v>319</v>
      </c>
      <c r="G282" s="184">
        <f t="shared" si="4"/>
        <v>0</v>
      </c>
    </row>
    <row r="283" spans="1:7" x14ac:dyDescent="0.25">
      <c r="A283" s="187">
        <v>21100</v>
      </c>
      <c r="B283" s="199" t="s">
        <v>918</v>
      </c>
      <c r="C283" s="187"/>
      <c r="D283" s="187"/>
      <c r="E283" s="189">
        <v>81.5</v>
      </c>
      <c r="F283" s="187" t="s">
        <v>319</v>
      </c>
      <c r="G283" s="184">
        <f t="shared" si="4"/>
        <v>0</v>
      </c>
    </row>
    <row r="284" spans="1:7" x14ac:dyDescent="0.25">
      <c r="A284" s="187">
        <v>21110</v>
      </c>
      <c r="B284" s="199" t="s">
        <v>683</v>
      </c>
      <c r="C284" s="187"/>
      <c r="D284" s="187"/>
      <c r="E284" s="189">
        <v>20.75</v>
      </c>
      <c r="F284" s="187" t="s">
        <v>319</v>
      </c>
      <c r="G284" s="184">
        <f t="shared" si="4"/>
        <v>0</v>
      </c>
    </row>
    <row r="285" spans="1:7" x14ac:dyDescent="0.25">
      <c r="A285" s="187">
        <v>21120</v>
      </c>
      <c r="B285" s="199" t="s">
        <v>684</v>
      </c>
      <c r="C285" s="187"/>
      <c r="D285" s="187"/>
      <c r="E285" s="189">
        <v>157.03</v>
      </c>
      <c r="F285" s="187" t="s">
        <v>319</v>
      </c>
      <c r="G285" s="184">
        <f t="shared" si="4"/>
        <v>0</v>
      </c>
    </row>
    <row r="286" spans="1:7" x14ac:dyDescent="0.25">
      <c r="A286" s="187">
        <v>21130</v>
      </c>
      <c r="B286" s="199" t="s">
        <v>919</v>
      </c>
      <c r="C286" s="187"/>
      <c r="D286" s="187"/>
      <c r="E286" s="189">
        <v>192.05600000000001</v>
      </c>
      <c r="F286" s="187" t="s">
        <v>319</v>
      </c>
      <c r="G286" s="184">
        <f t="shared" si="4"/>
        <v>0</v>
      </c>
    </row>
    <row r="287" spans="1:7" x14ac:dyDescent="0.25">
      <c r="A287" s="187">
        <v>21135</v>
      </c>
      <c r="B287" s="199" t="s">
        <v>685</v>
      </c>
      <c r="C287" s="187"/>
      <c r="D287" s="187"/>
      <c r="E287" s="189">
        <v>60</v>
      </c>
      <c r="F287" s="187" t="s">
        <v>319</v>
      </c>
      <c r="G287" s="184">
        <f t="shared" si="4"/>
        <v>0</v>
      </c>
    </row>
    <row r="288" spans="1:7" x14ac:dyDescent="0.25">
      <c r="A288" s="187">
        <v>22000</v>
      </c>
      <c r="B288" s="199" t="s">
        <v>686</v>
      </c>
      <c r="C288" s="187"/>
      <c r="D288" s="187"/>
      <c r="E288" s="188"/>
      <c r="F288" s="187" t="s">
        <v>319</v>
      </c>
      <c r="G288" s="184">
        <f t="shared" si="4"/>
        <v>0</v>
      </c>
    </row>
    <row r="289" spans="1:7" x14ac:dyDescent="0.25">
      <c r="A289" s="187">
        <v>22010</v>
      </c>
      <c r="B289" s="199" t="s">
        <v>441</v>
      </c>
      <c r="C289" s="187"/>
      <c r="D289" s="187"/>
      <c r="E289" s="189">
        <v>154.16</v>
      </c>
      <c r="F289" s="187" t="s">
        <v>319</v>
      </c>
      <c r="G289" s="184">
        <f t="shared" si="4"/>
        <v>0</v>
      </c>
    </row>
    <row r="290" spans="1:7" x14ac:dyDescent="0.25">
      <c r="A290" s="187">
        <v>22020</v>
      </c>
      <c r="B290" s="199" t="s">
        <v>687</v>
      </c>
      <c r="C290" s="187"/>
      <c r="D290" s="187"/>
      <c r="E290" s="189">
        <v>104.4</v>
      </c>
      <c r="F290" s="187" t="s">
        <v>319</v>
      </c>
      <c r="G290" s="184">
        <f t="shared" si="4"/>
        <v>0</v>
      </c>
    </row>
    <row r="291" spans="1:7" x14ac:dyDescent="0.25">
      <c r="A291" s="187">
        <v>22030</v>
      </c>
      <c r="B291" s="199" t="s">
        <v>688</v>
      </c>
      <c r="C291" s="187"/>
      <c r="D291" s="187"/>
      <c r="E291" s="189">
        <v>157.03</v>
      </c>
      <c r="F291" s="187" t="s">
        <v>319</v>
      </c>
      <c r="G291" s="184">
        <f t="shared" si="4"/>
        <v>0</v>
      </c>
    </row>
    <row r="292" spans="1:7" x14ac:dyDescent="0.25">
      <c r="A292" s="187">
        <v>22040</v>
      </c>
      <c r="B292" s="199" t="s">
        <v>689</v>
      </c>
      <c r="C292" s="187"/>
      <c r="D292" s="187"/>
      <c r="E292" s="189">
        <v>111</v>
      </c>
      <c r="F292" s="187" t="s">
        <v>319</v>
      </c>
      <c r="G292" s="184">
        <f t="shared" si="4"/>
        <v>0</v>
      </c>
    </row>
    <row r="293" spans="1:7" x14ac:dyDescent="0.25">
      <c r="A293" s="187">
        <v>22050</v>
      </c>
      <c r="B293" s="199" t="s">
        <v>690</v>
      </c>
      <c r="C293" s="187"/>
      <c r="D293" s="187"/>
      <c r="E293" s="189">
        <v>116.1</v>
      </c>
      <c r="F293" s="187" t="s">
        <v>319</v>
      </c>
      <c r="G293" s="184">
        <f t="shared" si="4"/>
        <v>0</v>
      </c>
    </row>
    <row r="294" spans="1:7" x14ac:dyDescent="0.25">
      <c r="A294" s="187">
        <v>22060</v>
      </c>
      <c r="B294" s="199" t="s">
        <v>691</v>
      </c>
      <c r="C294" s="187"/>
      <c r="D294" s="187"/>
      <c r="E294" s="189">
        <v>128.15</v>
      </c>
      <c r="F294" s="187" t="s">
        <v>319</v>
      </c>
      <c r="G294" s="184">
        <f t="shared" si="4"/>
        <v>0</v>
      </c>
    </row>
    <row r="295" spans="1:7" x14ac:dyDescent="0.25">
      <c r="A295" s="187">
        <v>22070</v>
      </c>
      <c r="B295" s="199" t="s">
        <v>692</v>
      </c>
      <c r="C295" s="187"/>
      <c r="D295" s="187"/>
      <c r="E295" s="189">
        <v>152</v>
      </c>
      <c r="F295" s="187" t="s">
        <v>319</v>
      </c>
      <c r="G295" s="184">
        <f t="shared" si="4"/>
        <v>0</v>
      </c>
    </row>
    <row r="296" spans="1:7" x14ac:dyDescent="0.25">
      <c r="A296" s="187">
        <v>22080</v>
      </c>
      <c r="B296" s="199" t="s">
        <v>693</v>
      </c>
      <c r="C296" s="187"/>
      <c r="D296" s="187"/>
      <c r="E296" s="189">
        <v>86.6</v>
      </c>
      <c r="F296" s="187" t="s">
        <v>319</v>
      </c>
      <c r="G296" s="184">
        <f t="shared" si="4"/>
        <v>0</v>
      </c>
    </row>
    <row r="297" spans="1:7" x14ac:dyDescent="0.25">
      <c r="A297" s="187">
        <v>22090</v>
      </c>
      <c r="B297" s="199" t="s">
        <v>694</v>
      </c>
      <c r="C297" s="187"/>
      <c r="D297" s="187"/>
      <c r="E297" s="189">
        <v>90.1</v>
      </c>
      <c r="F297" s="187" t="s">
        <v>319</v>
      </c>
      <c r="G297" s="184">
        <f t="shared" si="4"/>
        <v>0</v>
      </c>
    </row>
    <row r="298" spans="1:7" x14ac:dyDescent="0.25">
      <c r="A298" s="187">
        <v>22100</v>
      </c>
      <c r="B298" s="199" t="s">
        <v>695</v>
      </c>
      <c r="C298" s="187"/>
      <c r="D298" s="188"/>
      <c r="E298" s="189">
        <v>92.2</v>
      </c>
      <c r="F298" s="187" t="s">
        <v>319</v>
      </c>
      <c r="G298" s="184">
        <f t="shared" si="4"/>
        <v>0</v>
      </c>
    </row>
    <row r="299" spans="1:7" x14ac:dyDescent="0.25">
      <c r="A299" s="187">
        <v>22110</v>
      </c>
      <c r="B299" s="203" t="s">
        <v>696</v>
      </c>
      <c r="C299" s="204"/>
      <c r="D299" s="190">
        <v>1</v>
      </c>
      <c r="E299" s="189">
        <v>43.55</v>
      </c>
      <c r="F299" s="187" t="s">
        <v>319</v>
      </c>
      <c r="G299" s="184">
        <f t="shared" si="4"/>
        <v>43.55</v>
      </c>
    </row>
    <row r="300" spans="1:7" x14ac:dyDescent="0.25">
      <c r="A300" s="187">
        <v>22120</v>
      </c>
      <c r="B300" s="199" t="s">
        <v>697</v>
      </c>
      <c r="C300" s="187"/>
      <c r="D300" s="188"/>
      <c r="E300" s="189">
        <v>89.539000000000001</v>
      </c>
      <c r="F300" s="187" t="s">
        <v>319</v>
      </c>
      <c r="G300" s="184">
        <f t="shared" si="4"/>
        <v>0</v>
      </c>
    </row>
    <row r="301" spans="1:7" x14ac:dyDescent="0.25">
      <c r="A301" s="187">
        <v>22130</v>
      </c>
      <c r="B301" s="199" t="s">
        <v>698</v>
      </c>
      <c r="C301" s="187"/>
      <c r="D301" s="190">
        <v>1</v>
      </c>
      <c r="E301" s="189">
        <v>125.06</v>
      </c>
      <c r="F301" s="187" t="s">
        <v>319</v>
      </c>
      <c r="G301" s="184">
        <f t="shared" si="4"/>
        <v>125.06</v>
      </c>
    </row>
    <row r="302" spans="1:7" x14ac:dyDescent="0.25">
      <c r="A302" s="187">
        <v>22140</v>
      </c>
      <c r="B302" s="199" t="s">
        <v>699</v>
      </c>
      <c r="C302" s="187"/>
      <c r="D302" s="188"/>
      <c r="E302" s="189">
        <v>137.29</v>
      </c>
      <c r="F302" s="187" t="s">
        <v>319</v>
      </c>
      <c r="G302" s="184">
        <f t="shared" si="4"/>
        <v>0</v>
      </c>
    </row>
    <row r="303" spans="1:7" x14ac:dyDescent="0.25">
      <c r="A303" s="187">
        <v>22150</v>
      </c>
      <c r="B303" s="199" t="s">
        <v>700</v>
      </c>
      <c r="C303" s="187"/>
      <c r="D303" s="188"/>
      <c r="E303" s="189">
        <v>204.36699999999999</v>
      </c>
      <c r="F303" s="187" t="s">
        <v>319</v>
      </c>
      <c r="G303" s="184">
        <f t="shared" si="4"/>
        <v>0</v>
      </c>
    </row>
    <row r="304" spans="1:7" x14ac:dyDescent="0.25">
      <c r="A304" s="187">
        <v>22160</v>
      </c>
      <c r="B304" s="199" t="s">
        <v>701</v>
      </c>
      <c r="C304" s="187"/>
      <c r="D304" s="188"/>
      <c r="E304" s="189">
        <v>235</v>
      </c>
      <c r="F304" s="192" t="s">
        <v>702</v>
      </c>
      <c r="G304" s="184">
        <f t="shared" si="4"/>
        <v>0</v>
      </c>
    </row>
    <row r="305" spans="1:7" x14ac:dyDescent="0.25">
      <c r="A305" s="187">
        <v>22170</v>
      </c>
      <c r="B305" s="199" t="s">
        <v>703</v>
      </c>
      <c r="C305" s="187"/>
      <c r="D305" s="188"/>
      <c r="E305" s="189">
        <v>111.529</v>
      </c>
      <c r="F305" s="187" t="s">
        <v>319</v>
      </c>
      <c r="G305" s="184">
        <f t="shared" si="4"/>
        <v>0</v>
      </c>
    </row>
    <row r="306" spans="1:7" x14ac:dyDescent="0.25">
      <c r="A306" s="187">
        <v>22175</v>
      </c>
      <c r="B306" s="199" t="s">
        <v>704</v>
      </c>
      <c r="C306" s="187"/>
      <c r="D306" s="188"/>
      <c r="E306" s="189">
        <v>215</v>
      </c>
      <c r="F306" s="187" t="s">
        <v>319</v>
      </c>
      <c r="G306" s="184">
        <f t="shared" si="4"/>
        <v>0</v>
      </c>
    </row>
    <row r="307" spans="1:7" x14ac:dyDescent="0.25">
      <c r="A307" s="187">
        <v>22340</v>
      </c>
      <c r="B307" s="199" t="s">
        <v>442</v>
      </c>
      <c r="C307" s="187"/>
      <c r="D307" s="188"/>
      <c r="E307" s="188"/>
      <c r="F307" s="187" t="s">
        <v>319</v>
      </c>
      <c r="G307" s="184">
        <f t="shared" si="4"/>
        <v>0</v>
      </c>
    </row>
    <row r="308" spans="1:7" x14ac:dyDescent="0.25">
      <c r="A308" s="187">
        <v>22350</v>
      </c>
      <c r="B308" s="199" t="s">
        <v>443</v>
      </c>
      <c r="C308" s="199"/>
      <c r="D308" s="188"/>
      <c r="E308" s="188"/>
      <c r="F308" s="187" t="s">
        <v>319</v>
      </c>
      <c r="G308" s="184">
        <f t="shared" si="4"/>
        <v>0</v>
      </c>
    </row>
    <row r="309" spans="1:7" x14ac:dyDescent="0.25">
      <c r="A309" s="187">
        <v>22360</v>
      </c>
      <c r="B309" s="199" t="s">
        <v>444</v>
      </c>
      <c r="C309" s="199"/>
      <c r="D309" s="188"/>
      <c r="E309" s="188"/>
      <c r="F309" s="187" t="s">
        <v>319</v>
      </c>
      <c r="G309" s="184">
        <f t="shared" si="4"/>
        <v>0</v>
      </c>
    </row>
    <row r="310" spans="1:7" x14ac:dyDescent="0.25">
      <c r="A310" s="187">
        <v>22365</v>
      </c>
      <c r="B310" s="199" t="s">
        <v>705</v>
      </c>
      <c r="C310" s="199"/>
      <c r="D310" s="188"/>
      <c r="E310" s="189">
        <v>291.387</v>
      </c>
      <c r="F310" s="187" t="s">
        <v>319</v>
      </c>
      <c r="G310" s="184">
        <f t="shared" si="4"/>
        <v>0</v>
      </c>
    </row>
    <row r="311" spans="1:7" x14ac:dyDescent="0.25">
      <c r="A311" s="187">
        <v>22371</v>
      </c>
      <c r="B311" s="199" t="s">
        <v>920</v>
      </c>
      <c r="C311" s="199"/>
      <c r="D311" s="188"/>
      <c r="E311" s="190">
        <v>1291.73</v>
      </c>
      <c r="F311" s="187" t="s">
        <v>319</v>
      </c>
      <c r="G311" s="184">
        <f t="shared" si="4"/>
        <v>0</v>
      </c>
    </row>
    <row r="312" spans="1:7" x14ac:dyDescent="0.25">
      <c r="A312" s="187">
        <v>22380</v>
      </c>
      <c r="B312" s="199" t="s">
        <v>921</v>
      </c>
      <c r="C312" s="199"/>
      <c r="D312" s="188"/>
      <c r="E312" s="189">
        <v>125.676</v>
      </c>
      <c r="F312" s="187" t="s">
        <v>319</v>
      </c>
      <c r="G312" s="184">
        <f t="shared" si="4"/>
        <v>0</v>
      </c>
    </row>
    <row r="313" spans="1:7" x14ac:dyDescent="0.25">
      <c r="A313" s="187">
        <v>22390</v>
      </c>
      <c r="B313" s="199" t="s">
        <v>922</v>
      </c>
      <c r="C313" s="199"/>
      <c r="D313" s="188"/>
      <c r="E313" s="189">
        <v>94.63</v>
      </c>
      <c r="F313" s="187" t="s">
        <v>319</v>
      </c>
      <c r="G313" s="184">
        <f t="shared" si="4"/>
        <v>0</v>
      </c>
    </row>
    <row r="314" spans="1:7" x14ac:dyDescent="0.25">
      <c r="A314" s="187">
        <v>22394</v>
      </c>
      <c r="B314" s="199" t="s">
        <v>923</v>
      </c>
      <c r="C314" s="199"/>
      <c r="D314" s="188"/>
      <c r="E314" s="189">
        <v>125.676</v>
      </c>
      <c r="F314" s="187" t="s">
        <v>319</v>
      </c>
      <c r="G314" s="184">
        <f t="shared" si="4"/>
        <v>0</v>
      </c>
    </row>
    <row r="315" spans="1:7" x14ac:dyDescent="0.25">
      <c r="A315" s="187">
        <v>22395</v>
      </c>
      <c r="B315" s="199" t="s">
        <v>924</v>
      </c>
      <c r="C315" s="199"/>
      <c r="D315" s="188"/>
      <c r="E315" s="189">
        <v>125.68</v>
      </c>
      <c r="F315" s="187" t="s">
        <v>319</v>
      </c>
      <c r="G315" s="184">
        <f t="shared" si="4"/>
        <v>0</v>
      </c>
    </row>
    <row r="316" spans="1:7" x14ac:dyDescent="0.25">
      <c r="A316" s="187">
        <v>22399</v>
      </c>
      <c r="B316" s="199" t="s">
        <v>927</v>
      </c>
      <c r="C316" s="199"/>
      <c r="D316" s="188"/>
      <c r="E316" s="189">
        <v>2.2400000000000002</v>
      </c>
      <c r="F316" s="187" t="s">
        <v>319</v>
      </c>
      <c r="G316" s="184">
        <f t="shared" si="4"/>
        <v>0</v>
      </c>
    </row>
    <row r="317" spans="1:7" x14ac:dyDescent="0.25">
      <c r="A317" s="187">
        <v>22400</v>
      </c>
      <c r="B317" s="199" t="s">
        <v>706</v>
      </c>
      <c r="C317" s="199"/>
      <c r="D317" s="188"/>
      <c r="E317" s="189">
        <v>2.5249999999999999</v>
      </c>
      <c r="F317" s="187" t="s">
        <v>319</v>
      </c>
      <c r="G317" s="184">
        <f t="shared" si="4"/>
        <v>0</v>
      </c>
    </row>
    <row r="318" spans="1:7" x14ac:dyDescent="0.25">
      <c r="A318" s="187">
        <v>22405</v>
      </c>
      <c r="B318" s="199" t="s">
        <v>707</v>
      </c>
      <c r="C318" s="199"/>
      <c r="D318" s="188"/>
      <c r="E318" s="189">
        <v>3.1</v>
      </c>
      <c r="F318" s="187" t="s">
        <v>319</v>
      </c>
      <c r="G318" s="184">
        <f t="shared" si="4"/>
        <v>0</v>
      </c>
    </row>
    <row r="319" spans="1:7" x14ac:dyDescent="0.25">
      <c r="A319" s="187">
        <v>22410</v>
      </c>
      <c r="B319" s="199" t="s">
        <v>708</v>
      </c>
      <c r="C319" s="199"/>
      <c r="D319" s="188"/>
      <c r="E319" s="189">
        <v>3.33</v>
      </c>
      <c r="F319" s="187" t="s">
        <v>319</v>
      </c>
      <c r="G319" s="184">
        <f t="shared" si="4"/>
        <v>0</v>
      </c>
    </row>
    <row r="320" spans="1:7" x14ac:dyDescent="0.25">
      <c r="A320" s="187">
        <v>22415</v>
      </c>
      <c r="B320" s="199" t="s">
        <v>925</v>
      </c>
      <c r="C320" s="199"/>
      <c r="D320" s="188"/>
      <c r="E320" s="189">
        <v>3.665</v>
      </c>
      <c r="F320" s="187" t="s">
        <v>319</v>
      </c>
      <c r="G320" s="184">
        <f t="shared" si="4"/>
        <v>0</v>
      </c>
    </row>
    <row r="321" spans="1:7" x14ac:dyDescent="0.25">
      <c r="A321" s="187">
        <v>22420</v>
      </c>
      <c r="B321" s="199" t="s">
        <v>926</v>
      </c>
      <c r="C321" s="199"/>
      <c r="D321" s="188"/>
      <c r="E321" s="189">
        <v>3.68</v>
      </c>
      <c r="F321" s="187" t="s">
        <v>319</v>
      </c>
      <c r="G321" s="184">
        <f t="shared" si="4"/>
        <v>0</v>
      </c>
    </row>
    <row r="322" spans="1:7" x14ac:dyDescent="0.25">
      <c r="A322" s="187">
        <v>22425</v>
      </c>
      <c r="B322" s="199" t="s">
        <v>709</v>
      </c>
      <c r="C322" s="199"/>
      <c r="D322" s="188"/>
      <c r="E322" s="189">
        <v>6.0739999999999998</v>
      </c>
      <c r="F322" s="187" t="s">
        <v>319</v>
      </c>
      <c r="G322" s="184">
        <f t="shared" si="4"/>
        <v>0</v>
      </c>
    </row>
    <row r="323" spans="1:7" ht="24.75" x14ac:dyDescent="0.25">
      <c r="A323" s="187">
        <v>22500</v>
      </c>
      <c r="B323" s="199" t="s">
        <v>710</v>
      </c>
      <c r="C323" s="199"/>
      <c r="D323" s="188"/>
      <c r="E323" s="189">
        <v>66.650000000000006</v>
      </c>
      <c r="F323" s="187" t="s">
        <v>319</v>
      </c>
      <c r="G323" s="184">
        <f t="shared" si="4"/>
        <v>0</v>
      </c>
    </row>
    <row r="324" spans="1:7" ht="24.75" x14ac:dyDescent="0.25">
      <c r="A324" s="187">
        <v>22505</v>
      </c>
      <c r="B324" s="199" t="s">
        <v>711</v>
      </c>
      <c r="C324" s="199"/>
      <c r="D324" s="190">
        <v>2</v>
      </c>
      <c r="E324" s="189">
        <v>69.88</v>
      </c>
      <c r="F324" s="187" t="s">
        <v>319</v>
      </c>
      <c r="G324" s="184">
        <f t="shared" si="4"/>
        <v>139.76</v>
      </c>
    </row>
    <row r="325" spans="1:7" ht="24.75" x14ac:dyDescent="0.25">
      <c r="A325" s="187">
        <v>22510</v>
      </c>
      <c r="B325" s="199" t="s">
        <v>928</v>
      </c>
      <c r="C325" s="199"/>
      <c r="D325" s="188"/>
      <c r="E325" s="187">
        <v>77.31</v>
      </c>
      <c r="F325" s="187" t="s">
        <v>319</v>
      </c>
      <c r="G325" s="184">
        <f t="shared" si="4"/>
        <v>0</v>
      </c>
    </row>
    <row r="326" spans="1:7" ht="24.75" x14ac:dyDescent="0.25">
      <c r="A326" s="187">
        <v>22515</v>
      </c>
      <c r="B326" s="199" t="s">
        <v>929</v>
      </c>
      <c r="C326" s="199"/>
      <c r="D326" s="188"/>
      <c r="E326" s="189">
        <v>87.41</v>
      </c>
      <c r="F326" s="187" t="s">
        <v>319</v>
      </c>
      <c r="G326" s="184">
        <f t="shared" si="4"/>
        <v>0</v>
      </c>
    </row>
    <row r="327" spans="1:7" x14ac:dyDescent="0.25">
      <c r="A327" s="187">
        <v>22518</v>
      </c>
      <c r="B327" s="199" t="s">
        <v>930</v>
      </c>
      <c r="C327" s="199"/>
      <c r="D327" s="188"/>
      <c r="E327" s="189">
        <v>275</v>
      </c>
      <c r="F327" s="187" t="s">
        <v>319</v>
      </c>
      <c r="G327" s="184">
        <f t="shared" si="4"/>
        <v>0</v>
      </c>
    </row>
    <row r="328" spans="1:7" x14ac:dyDescent="0.25">
      <c r="A328" s="187">
        <v>22520</v>
      </c>
      <c r="B328" s="194" t="s">
        <v>931</v>
      </c>
      <c r="C328" s="194"/>
      <c r="D328" s="188"/>
      <c r="E328" s="205">
        <v>0</v>
      </c>
      <c r="F328" s="187" t="s">
        <v>319</v>
      </c>
      <c r="G328" s="184">
        <f t="shared" si="4"/>
        <v>0</v>
      </c>
    </row>
    <row r="329" spans="1:7" x14ac:dyDescent="0.25">
      <c r="A329" s="187">
        <v>22525</v>
      </c>
      <c r="B329" s="199" t="s">
        <v>932</v>
      </c>
      <c r="C329" s="199"/>
      <c r="D329" s="188"/>
      <c r="E329" s="189">
        <v>72.81</v>
      </c>
      <c r="F329" s="187" t="s">
        <v>319</v>
      </c>
      <c r="G329" s="184">
        <f t="shared" si="4"/>
        <v>0</v>
      </c>
    </row>
    <row r="330" spans="1:7" x14ac:dyDescent="0.25">
      <c r="A330" s="187">
        <v>22530</v>
      </c>
      <c r="B330" s="199" t="s">
        <v>933</v>
      </c>
      <c r="C330" s="199"/>
      <c r="D330" s="188"/>
      <c r="E330" s="189">
        <v>68.709999999999994</v>
      </c>
      <c r="F330" s="187" t="s">
        <v>319</v>
      </c>
      <c r="G330" s="184">
        <f t="shared" si="4"/>
        <v>0</v>
      </c>
    </row>
    <row r="331" spans="1:7" x14ac:dyDescent="0.25">
      <c r="A331" s="187">
        <v>22535</v>
      </c>
      <c r="B331" s="199" t="s">
        <v>934</v>
      </c>
      <c r="C331" s="199"/>
      <c r="D331" s="188"/>
      <c r="E331" s="205">
        <v>0</v>
      </c>
      <c r="F331" s="187" t="s">
        <v>319</v>
      </c>
      <c r="G331" s="184">
        <f t="shared" si="4"/>
        <v>0</v>
      </c>
    </row>
    <row r="332" spans="1:7" x14ac:dyDescent="0.25">
      <c r="A332" s="187">
        <v>22540</v>
      </c>
      <c r="B332" s="199" t="s">
        <v>712</v>
      </c>
      <c r="C332" s="199"/>
      <c r="D332" s="191">
        <v>1</v>
      </c>
      <c r="E332" s="189">
        <v>103.4</v>
      </c>
      <c r="F332" s="187" t="s">
        <v>319</v>
      </c>
      <c r="G332" s="184">
        <f t="shared" ref="G332:G395" si="5">D332*E332</f>
        <v>103.4</v>
      </c>
    </row>
    <row r="333" spans="1:7" x14ac:dyDescent="0.25">
      <c r="A333" s="187">
        <v>22545</v>
      </c>
      <c r="B333" s="199" t="s">
        <v>935</v>
      </c>
      <c r="C333" s="199"/>
      <c r="D333" s="188"/>
      <c r="E333" s="189">
        <v>71.760000000000005</v>
      </c>
      <c r="F333" s="187" t="s">
        <v>319</v>
      </c>
      <c r="G333" s="184">
        <f t="shared" si="5"/>
        <v>0</v>
      </c>
    </row>
    <row r="334" spans="1:7" x14ac:dyDescent="0.25">
      <c r="A334" s="187">
        <v>22550</v>
      </c>
      <c r="B334" s="199" t="s">
        <v>936</v>
      </c>
      <c r="C334" s="199"/>
      <c r="D334" s="188"/>
      <c r="E334" s="189">
        <v>79.12</v>
      </c>
      <c r="F334" s="187" t="s">
        <v>319</v>
      </c>
      <c r="G334" s="184">
        <f t="shared" si="5"/>
        <v>0</v>
      </c>
    </row>
    <row r="335" spans="1:7" x14ac:dyDescent="0.25">
      <c r="A335" s="187">
        <v>23000</v>
      </c>
      <c r="B335" s="187" t="s">
        <v>937</v>
      </c>
      <c r="C335" s="187"/>
      <c r="D335" s="188"/>
      <c r="E335" s="189">
        <v>7.04</v>
      </c>
      <c r="F335" s="187" t="s">
        <v>319</v>
      </c>
      <c r="G335" s="184">
        <f t="shared" si="5"/>
        <v>0</v>
      </c>
    </row>
    <row r="336" spans="1:7" x14ac:dyDescent="0.25">
      <c r="A336" s="187">
        <v>23010</v>
      </c>
      <c r="B336" s="187" t="s">
        <v>446</v>
      </c>
      <c r="C336" s="187"/>
      <c r="D336" s="188"/>
      <c r="E336" s="188"/>
      <c r="F336" s="187" t="s">
        <v>319</v>
      </c>
      <c r="G336" s="184">
        <f t="shared" si="5"/>
        <v>0</v>
      </c>
    </row>
    <row r="337" spans="1:7" x14ac:dyDescent="0.25">
      <c r="A337" s="187">
        <v>23460</v>
      </c>
      <c r="B337" s="187" t="s">
        <v>720</v>
      </c>
      <c r="C337" s="187"/>
      <c r="D337" s="188"/>
      <c r="E337" s="188"/>
      <c r="F337" s="187" t="s">
        <v>319</v>
      </c>
      <c r="G337" s="184">
        <f t="shared" si="5"/>
        <v>0</v>
      </c>
    </row>
    <row r="338" spans="1:7" x14ac:dyDescent="0.25">
      <c r="A338" s="187">
        <v>23450</v>
      </c>
      <c r="B338" s="187" t="s">
        <v>719</v>
      </c>
      <c r="C338" s="187"/>
      <c r="D338" s="188"/>
      <c r="E338" s="189">
        <v>3.4359999999999999</v>
      </c>
      <c r="F338" s="187" t="s">
        <v>319</v>
      </c>
      <c r="G338" s="184">
        <f t="shared" si="5"/>
        <v>0</v>
      </c>
    </row>
    <row r="339" spans="1:7" x14ac:dyDescent="0.25">
      <c r="A339" s="187">
        <v>23020</v>
      </c>
      <c r="B339" s="187" t="s">
        <v>447</v>
      </c>
      <c r="C339" s="187"/>
      <c r="D339" s="188"/>
      <c r="E339" s="188"/>
      <c r="F339" s="187" t="s">
        <v>319</v>
      </c>
      <c r="G339" s="184">
        <f t="shared" si="5"/>
        <v>0</v>
      </c>
    </row>
    <row r="340" spans="1:7" x14ac:dyDescent="0.25">
      <c r="A340" s="187">
        <v>23030</v>
      </c>
      <c r="B340" s="187" t="s">
        <v>448</v>
      </c>
      <c r="C340" s="187"/>
      <c r="D340" s="188"/>
      <c r="E340" s="188"/>
      <c r="F340" s="187" t="s">
        <v>319</v>
      </c>
      <c r="G340" s="184">
        <f t="shared" si="5"/>
        <v>0</v>
      </c>
    </row>
    <row r="341" spans="1:7" x14ac:dyDescent="0.25">
      <c r="A341" s="187">
        <v>23040</v>
      </c>
      <c r="B341" s="187" t="s">
        <v>449</v>
      </c>
      <c r="C341" s="187"/>
      <c r="D341" s="188"/>
      <c r="E341" s="189">
        <v>0.33</v>
      </c>
      <c r="F341" s="187" t="s">
        <v>319</v>
      </c>
      <c r="G341" s="184">
        <f t="shared" si="5"/>
        <v>0</v>
      </c>
    </row>
    <row r="342" spans="1:7" x14ac:dyDescent="0.25">
      <c r="A342" s="187">
        <v>23050</v>
      </c>
      <c r="B342" s="187" t="s">
        <v>450</v>
      </c>
      <c r="C342" s="187"/>
      <c r="D342" s="188"/>
      <c r="E342" s="189">
        <v>0.28000000000000003</v>
      </c>
      <c r="F342" s="187" t="s">
        <v>319</v>
      </c>
      <c r="G342" s="184">
        <f t="shared" si="5"/>
        <v>0</v>
      </c>
    </row>
    <row r="343" spans="1:7" x14ac:dyDescent="0.25">
      <c r="A343" s="187">
        <v>23060</v>
      </c>
      <c r="B343" s="187" t="s">
        <v>451</v>
      </c>
      <c r="C343" s="187"/>
      <c r="D343" s="188"/>
      <c r="E343" s="189">
        <v>0.4</v>
      </c>
      <c r="F343" s="187" t="s">
        <v>319</v>
      </c>
      <c r="G343" s="184">
        <f t="shared" si="5"/>
        <v>0</v>
      </c>
    </row>
    <row r="344" spans="1:7" x14ac:dyDescent="0.25">
      <c r="A344" s="187">
        <v>23070</v>
      </c>
      <c r="B344" s="187" t="s">
        <v>452</v>
      </c>
      <c r="C344" s="187"/>
      <c r="D344" s="188"/>
      <c r="E344" s="189">
        <v>0.79</v>
      </c>
      <c r="F344" s="187" t="s">
        <v>319</v>
      </c>
      <c r="G344" s="184">
        <f t="shared" si="5"/>
        <v>0</v>
      </c>
    </row>
    <row r="345" spans="1:7" x14ac:dyDescent="0.25">
      <c r="A345" s="187">
        <v>23080</v>
      </c>
      <c r="B345" s="187" t="s">
        <v>453</v>
      </c>
      <c r="C345" s="187"/>
      <c r="D345" s="188"/>
      <c r="E345" s="189">
        <v>1.1200000000000001</v>
      </c>
      <c r="F345" s="187" t="s">
        <v>319</v>
      </c>
      <c r="G345" s="184">
        <f t="shared" si="5"/>
        <v>0</v>
      </c>
    </row>
    <row r="346" spans="1:7" x14ac:dyDescent="0.25">
      <c r="A346" s="187">
        <v>23090</v>
      </c>
      <c r="B346" s="187" t="s">
        <v>454</v>
      </c>
      <c r="C346" s="187"/>
      <c r="D346" s="188"/>
      <c r="E346" s="189">
        <v>1.53</v>
      </c>
      <c r="F346" s="187" t="s">
        <v>319</v>
      </c>
      <c r="G346" s="184">
        <f t="shared" si="5"/>
        <v>0</v>
      </c>
    </row>
    <row r="347" spans="1:7" x14ac:dyDescent="0.25">
      <c r="A347" s="187">
        <v>23100</v>
      </c>
      <c r="B347" s="187" t="s">
        <v>455</v>
      </c>
      <c r="C347" s="187"/>
      <c r="D347" s="188"/>
      <c r="E347" s="189">
        <v>2.4700000000000002</v>
      </c>
      <c r="F347" s="187" t="s">
        <v>319</v>
      </c>
      <c r="G347" s="184">
        <f t="shared" si="5"/>
        <v>0</v>
      </c>
    </row>
    <row r="348" spans="1:7" x14ac:dyDescent="0.25">
      <c r="A348" s="187">
        <v>23110</v>
      </c>
      <c r="B348" s="187" t="s">
        <v>456</v>
      </c>
      <c r="C348" s="187"/>
      <c r="D348" s="188"/>
      <c r="E348" s="189">
        <v>2.2200000000000002</v>
      </c>
      <c r="F348" s="187" t="s">
        <v>319</v>
      </c>
      <c r="G348" s="184">
        <f t="shared" si="5"/>
        <v>0</v>
      </c>
    </row>
    <row r="349" spans="1:7" x14ac:dyDescent="0.25">
      <c r="A349" s="187">
        <v>23120</v>
      </c>
      <c r="B349" s="187" t="s">
        <v>457</v>
      </c>
      <c r="C349" s="187"/>
      <c r="D349" s="188"/>
      <c r="E349" s="189">
        <v>1.95</v>
      </c>
      <c r="F349" s="187" t="s">
        <v>319</v>
      </c>
      <c r="G349" s="184">
        <f t="shared" si="5"/>
        <v>0</v>
      </c>
    </row>
    <row r="350" spans="1:7" x14ac:dyDescent="0.25">
      <c r="A350" s="187">
        <v>23130</v>
      </c>
      <c r="B350" s="187" t="s">
        <v>458</v>
      </c>
      <c r="C350" s="187"/>
      <c r="D350" s="188"/>
      <c r="E350" s="189">
        <v>0.85</v>
      </c>
      <c r="F350" s="187" t="s">
        <v>319</v>
      </c>
      <c r="G350" s="184">
        <f t="shared" si="5"/>
        <v>0</v>
      </c>
    </row>
    <row r="351" spans="1:7" x14ac:dyDescent="0.25">
      <c r="A351" s="187">
        <v>23140</v>
      </c>
      <c r="B351" s="187" t="s">
        <v>459</v>
      </c>
      <c r="C351" s="187"/>
      <c r="D351" s="188"/>
      <c r="E351" s="189">
        <v>1.65</v>
      </c>
      <c r="F351" s="187" t="s">
        <v>319</v>
      </c>
      <c r="G351" s="184">
        <f t="shared" si="5"/>
        <v>0</v>
      </c>
    </row>
    <row r="352" spans="1:7" x14ac:dyDescent="0.25">
      <c r="A352" s="187">
        <v>23150</v>
      </c>
      <c r="B352" s="187" t="s">
        <v>460</v>
      </c>
      <c r="C352" s="187"/>
      <c r="D352" s="188"/>
      <c r="E352" s="189">
        <v>2.08</v>
      </c>
      <c r="F352" s="187" t="s">
        <v>702</v>
      </c>
      <c r="G352" s="184">
        <f t="shared" si="5"/>
        <v>0</v>
      </c>
    </row>
    <row r="353" spans="1:7" x14ac:dyDescent="0.25">
      <c r="A353" s="187">
        <v>23160</v>
      </c>
      <c r="B353" s="187" t="s">
        <v>461</v>
      </c>
      <c r="C353" s="187"/>
      <c r="D353" s="188"/>
      <c r="E353" s="189">
        <v>3.85</v>
      </c>
      <c r="F353" s="187" t="s">
        <v>319</v>
      </c>
      <c r="G353" s="184">
        <f t="shared" si="5"/>
        <v>0</v>
      </c>
    </row>
    <row r="354" spans="1:7" x14ac:dyDescent="0.25">
      <c r="A354" s="187">
        <v>23170</v>
      </c>
      <c r="B354" s="187" t="s">
        <v>462</v>
      </c>
      <c r="C354" s="187"/>
      <c r="D354" s="188"/>
      <c r="E354" s="189">
        <v>1.66</v>
      </c>
      <c r="F354" s="187" t="s">
        <v>319</v>
      </c>
      <c r="G354" s="184">
        <f t="shared" si="5"/>
        <v>0</v>
      </c>
    </row>
    <row r="355" spans="1:7" x14ac:dyDescent="0.25">
      <c r="A355" s="187">
        <v>23180</v>
      </c>
      <c r="B355" s="187" t="s">
        <v>463</v>
      </c>
      <c r="C355" s="187"/>
      <c r="D355" s="188"/>
      <c r="E355" s="189">
        <v>1.66</v>
      </c>
      <c r="F355" s="187" t="s">
        <v>319</v>
      </c>
      <c r="G355" s="184">
        <f t="shared" si="5"/>
        <v>0</v>
      </c>
    </row>
    <row r="356" spans="1:7" x14ac:dyDescent="0.25">
      <c r="A356" s="187">
        <v>23190</v>
      </c>
      <c r="B356" s="187" t="s">
        <v>464</v>
      </c>
      <c r="C356" s="187"/>
      <c r="D356" s="188"/>
      <c r="E356" s="189">
        <v>1.02</v>
      </c>
      <c r="F356" s="187" t="s">
        <v>319</v>
      </c>
      <c r="G356" s="184">
        <f t="shared" si="5"/>
        <v>0</v>
      </c>
    </row>
    <row r="357" spans="1:7" x14ac:dyDescent="0.25">
      <c r="A357" s="187">
        <v>23200</v>
      </c>
      <c r="B357" s="187" t="s">
        <v>465</v>
      </c>
      <c r="C357" s="187"/>
      <c r="D357" s="188"/>
      <c r="E357" s="189">
        <v>1.58</v>
      </c>
      <c r="F357" s="187" t="s">
        <v>319</v>
      </c>
      <c r="G357" s="184">
        <f t="shared" si="5"/>
        <v>0</v>
      </c>
    </row>
    <row r="358" spans="1:7" x14ac:dyDescent="0.25">
      <c r="A358" s="187">
        <v>23210</v>
      </c>
      <c r="B358" s="187" t="s">
        <v>466</v>
      </c>
      <c r="C358" s="187"/>
      <c r="D358" s="188"/>
      <c r="E358" s="189">
        <v>2.4700000000000002</v>
      </c>
      <c r="F358" s="187" t="s">
        <v>319</v>
      </c>
      <c r="G358" s="184">
        <f t="shared" si="5"/>
        <v>0</v>
      </c>
    </row>
    <row r="359" spans="1:7" x14ac:dyDescent="0.25">
      <c r="A359" s="187">
        <v>23220</v>
      </c>
      <c r="B359" s="187" t="s">
        <v>467</v>
      </c>
      <c r="C359" s="187"/>
      <c r="D359" s="188"/>
      <c r="E359" s="189">
        <v>2.95</v>
      </c>
      <c r="F359" s="187" t="s">
        <v>319</v>
      </c>
      <c r="G359" s="184">
        <f t="shared" si="5"/>
        <v>0</v>
      </c>
    </row>
    <row r="360" spans="1:7" x14ac:dyDescent="0.25">
      <c r="A360" s="187">
        <v>23230</v>
      </c>
      <c r="B360" s="187" t="s">
        <v>713</v>
      </c>
      <c r="C360" s="187"/>
      <c r="D360" s="188"/>
      <c r="E360" s="189">
        <v>5.83</v>
      </c>
      <c r="F360" s="187" t="s">
        <v>319</v>
      </c>
      <c r="G360" s="184">
        <f t="shared" si="5"/>
        <v>0</v>
      </c>
    </row>
    <row r="361" spans="1:7" x14ac:dyDescent="0.25">
      <c r="A361" s="187">
        <v>23240</v>
      </c>
      <c r="B361" s="187" t="s">
        <v>938</v>
      </c>
      <c r="C361" s="187"/>
      <c r="D361" s="188"/>
      <c r="E361" s="188"/>
      <c r="F361" s="187" t="s">
        <v>319</v>
      </c>
      <c r="G361" s="184">
        <f t="shared" si="5"/>
        <v>0</v>
      </c>
    </row>
    <row r="362" spans="1:7" x14ac:dyDescent="0.25">
      <c r="A362" s="187">
        <v>23250</v>
      </c>
      <c r="B362" s="187" t="s">
        <v>468</v>
      </c>
      <c r="C362" s="187"/>
      <c r="D362" s="188"/>
      <c r="E362" s="189">
        <v>1.56</v>
      </c>
      <c r="F362" s="187" t="s">
        <v>319</v>
      </c>
      <c r="G362" s="184">
        <f t="shared" si="5"/>
        <v>0</v>
      </c>
    </row>
    <row r="363" spans="1:7" x14ac:dyDescent="0.25">
      <c r="A363" s="187">
        <v>23260</v>
      </c>
      <c r="B363" s="187" t="s">
        <v>469</v>
      </c>
      <c r="C363" s="187"/>
      <c r="D363" s="188"/>
      <c r="E363" s="188"/>
      <c r="F363" s="187" t="s">
        <v>319</v>
      </c>
      <c r="G363" s="184">
        <f t="shared" si="5"/>
        <v>0</v>
      </c>
    </row>
    <row r="364" spans="1:7" x14ac:dyDescent="0.25">
      <c r="A364" s="187">
        <v>23270</v>
      </c>
      <c r="B364" s="187" t="s">
        <v>470</v>
      </c>
      <c r="C364" s="187"/>
      <c r="D364" s="188"/>
      <c r="E364" s="188"/>
      <c r="F364" s="187" t="s">
        <v>319</v>
      </c>
      <c r="G364" s="184">
        <f t="shared" si="5"/>
        <v>0</v>
      </c>
    </row>
    <row r="365" spans="1:7" x14ac:dyDescent="0.25">
      <c r="A365" s="187">
        <v>23280</v>
      </c>
      <c r="B365" s="187" t="s">
        <v>471</v>
      </c>
      <c r="C365" s="187"/>
      <c r="D365" s="188"/>
      <c r="E365" s="188"/>
      <c r="F365" s="187" t="s">
        <v>319</v>
      </c>
      <c r="G365" s="184">
        <f t="shared" si="5"/>
        <v>0</v>
      </c>
    </row>
    <row r="366" spans="1:7" x14ac:dyDescent="0.25">
      <c r="A366" s="187">
        <v>23290</v>
      </c>
      <c r="B366" s="187" t="s">
        <v>472</v>
      </c>
      <c r="C366" s="187"/>
      <c r="D366" s="188"/>
      <c r="E366" s="188"/>
      <c r="F366" s="187" t="s">
        <v>319</v>
      </c>
      <c r="G366" s="184">
        <f t="shared" si="5"/>
        <v>0</v>
      </c>
    </row>
    <row r="367" spans="1:7" x14ac:dyDescent="0.25">
      <c r="A367" s="187">
        <v>23300</v>
      </c>
      <c r="B367" s="187" t="s">
        <v>473</v>
      </c>
      <c r="C367" s="187"/>
      <c r="D367" s="188"/>
      <c r="E367" s="188"/>
      <c r="F367" s="187" t="s">
        <v>319</v>
      </c>
      <c r="G367" s="184">
        <f t="shared" si="5"/>
        <v>0</v>
      </c>
    </row>
    <row r="368" spans="1:7" x14ac:dyDescent="0.25">
      <c r="A368" s="187">
        <v>23310</v>
      </c>
      <c r="B368" s="187" t="s">
        <v>474</v>
      </c>
      <c r="C368" s="187"/>
      <c r="D368" s="188"/>
      <c r="E368" s="188"/>
      <c r="F368" s="187" t="s">
        <v>319</v>
      </c>
      <c r="G368" s="184">
        <f t="shared" si="5"/>
        <v>0</v>
      </c>
    </row>
    <row r="369" spans="1:7" x14ac:dyDescent="0.25">
      <c r="A369" s="187">
        <v>23320</v>
      </c>
      <c r="B369" s="187" t="s">
        <v>475</v>
      </c>
      <c r="C369" s="187"/>
      <c r="D369" s="188"/>
      <c r="E369" s="188"/>
      <c r="F369" s="187" t="s">
        <v>319</v>
      </c>
      <c r="G369" s="184">
        <f t="shared" si="5"/>
        <v>0</v>
      </c>
    </row>
    <row r="370" spans="1:7" x14ac:dyDescent="0.25">
      <c r="A370" s="187">
        <v>23323</v>
      </c>
      <c r="B370" s="187" t="s">
        <v>714</v>
      </c>
      <c r="C370" s="187"/>
      <c r="D370" s="188"/>
      <c r="E370" s="189">
        <v>146.51</v>
      </c>
      <c r="F370" s="187" t="s">
        <v>319</v>
      </c>
      <c r="G370" s="184">
        <f t="shared" si="5"/>
        <v>0</v>
      </c>
    </row>
    <row r="371" spans="1:7" x14ac:dyDescent="0.25">
      <c r="A371" s="187">
        <v>23325</v>
      </c>
      <c r="B371" s="187" t="s">
        <v>939</v>
      </c>
      <c r="C371" s="187"/>
      <c r="D371" s="188"/>
      <c r="E371" s="189">
        <v>173.15</v>
      </c>
      <c r="F371" s="187" t="s">
        <v>319</v>
      </c>
      <c r="G371" s="184">
        <f t="shared" si="5"/>
        <v>0</v>
      </c>
    </row>
    <row r="372" spans="1:7" x14ac:dyDescent="0.25">
      <c r="A372" s="187">
        <v>23326</v>
      </c>
      <c r="B372" s="187" t="s">
        <v>715</v>
      </c>
      <c r="C372" s="187"/>
      <c r="D372" s="188"/>
      <c r="E372" s="189">
        <v>78.989999999999995</v>
      </c>
      <c r="F372" s="187" t="s">
        <v>319</v>
      </c>
      <c r="G372" s="184">
        <f t="shared" si="5"/>
        <v>0</v>
      </c>
    </row>
    <row r="373" spans="1:7" x14ac:dyDescent="0.25">
      <c r="A373" s="187">
        <v>23330</v>
      </c>
      <c r="B373" s="187" t="s">
        <v>476</v>
      </c>
      <c r="C373" s="187"/>
      <c r="D373" s="188"/>
      <c r="E373" s="189">
        <v>162.30000000000001</v>
      </c>
      <c r="F373" s="187" t="s">
        <v>319</v>
      </c>
      <c r="G373" s="184">
        <f t="shared" si="5"/>
        <v>0</v>
      </c>
    </row>
    <row r="374" spans="1:7" x14ac:dyDescent="0.25">
      <c r="A374" s="187">
        <v>23340</v>
      </c>
      <c r="B374" s="187" t="s">
        <v>477</v>
      </c>
      <c r="C374" s="187"/>
      <c r="D374" s="188"/>
      <c r="E374" s="189">
        <v>146.84</v>
      </c>
      <c r="F374" s="187" t="s">
        <v>319</v>
      </c>
      <c r="G374" s="184">
        <f t="shared" si="5"/>
        <v>0</v>
      </c>
    </row>
    <row r="375" spans="1:7" x14ac:dyDescent="0.25">
      <c r="A375" s="187">
        <v>23350</v>
      </c>
      <c r="B375" s="187" t="s">
        <v>478</v>
      </c>
      <c r="C375" s="187"/>
      <c r="D375" s="190">
        <v>1</v>
      </c>
      <c r="E375" s="189">
        <v>169.94</v>
      </c>
      <c r="F375" s="187" t="s">
        <v>319</v>
      </c>
      <c r="G375" s="184">
        <f t="shared" si="5"/>
        <v>169.94</v>
      </c>
    </row>
    <row r="376" spans="1:7" x14ac:dyDescent="0.25">
      <c r="A376" s="187">
        <v>23360</v>
      </c>
      <c r="B376" s="187" t="s">
        <v>479</v>
      </c>
      <c r="C376" s="187"/>
      <c r="D376" s="188"/>
      <c r="E376" s="189">
        <v>147</v>
      </c>
      <c r="F376" s="187" t="s">
        <v>319</v>
      </c>
      <c r="G376" s="184">
        <f t="shared" si="5"/>
        <v>0</v>
      </c>
    </row>
    <row r="377" spans="1:7" x14ac:dyDescent="0.25">
      <c r="A377" s="187">
        <v>23370</v>
      </c>
      <c r="B377" s="187" t="s">
        <v>480</v>
      </c>
      <c r="C377" s="187"/>
      <c r="D377" s="188"/>
      <c r="E377" s="189">
        <v>187.47</v>
      </c>
      <c r="F377" s="187" t="s">
        <v>319</v>
      </c>
      <c r="G377" s="184">
        <f t="shared" si="5"/>
        <v>0</v>
      </c>
    </row>
    <row r="378" spans="1:7" x14ac:dyDescent="0.25">
      <c r="A378" s="187">
        <v>23380</v>
      </c>
      <c r="B378" s="187" t="s">
        <v>481</v>
      </c>
      <c r="C378" s="187"/>
      <c r="D378" s="188"/>
      <c r="E378" s="189">
        <v>400</v>
      </c>
      <c r="F378" s="187" t="s">
        <v>319</v>
      </c>
      <c r="G378" s="184">
        <f t="shared" si="5"/>
        <v>0</v>
      </c>
    </row>
    <row r="379" spans="1:7" x14ac:dyDescent="0.25">
      <c r="A379" s="187">
        <v>23390</v>
      </c>
      <c r="B379" s="187" t="s">
        <v>482</v>
      </c>
      <c r="C379" s="187"/>
      <c r="D379" s="188"/>
      <c r="E379" s="189">
        <v>3.1</v>
      </c>
      <c r="F379" s="187" t="s">
        <v>319</v>
      </c>
      <c r="G379" s="184">
        <f t="shared" si="5"/>
        <v>0</v>
      </c>
    </row>
    <row r="380" spans="1:7" x14ac:dyDescent="0.25">
      <c r="A380" s="187">
        <v>23400</v>
      </c>
      <c r="B380" s="187" t="s">
        <v>716</v>
      </c>
      <c r="C380" s="187"/>
      <c r="D380" s="188"/>
      <c r="E380" s="189">
        <v>3.5</v>
      </c>
      <c r="F380" s="187" t="s">
        <v>319</v>
      </c>
      <c r="G380" s="184">
        <f t="shared" si="5"/>
        <v>0</v>
      </c>
    </row>
    <row r="381" spans="1:7" x14ac:dyDescent="0.25">
      <c r="A381" s="187">
        <v>23410</v>
      </c>
      <c r="B381" s="187" t="s">
        <v>717</v>
      </c>
      <c r="C381" s="187"/>
      <c r="D381" s="188"/>
      <c r="E381" s="189">
        <v>3.25</v>
      </c>
      <c r="F381" s="187" t="s">
        <v>319</v>
      </c>
      <c r="G381" s="184">
        <f t="shared" si="5"/>
        <v>0</v>
      </c>
    </row>
    <row r="382" spans="1:7" x14ac:dyDescent="0.25">
      <c r="A382" s="187">
        <v>23420</v>
      </c>
      <c r="B382" s="187" t="s">
        <v>718</v>
      </c>
      <c r="C382" s="187"/>
      <c r="D382" s="188"/>
      <c r="E382" s="189">
        <v>3.79</v>
      </c>
      <c r="F382" s="187" t="s">
        <v>319</v>
      </c>
      <c r="G382" s="184">
        <f t="shared" si="5"/>
        <v>0</v>
      </c>
    </row>
    <row r="383" spans="1:7" x14ac:dyDescent="0.25">
      <c r="A383" s="187">
        <v>23430</v>
      </c>
      <c r="B383" s="187" t="s">
        <v>483</v>
      </c>
      <c r="C383" s="187"/>
      <c r="D383" s="188"/>
      <c r="E383" s="189">
        <v>4.7300000000000004</v>
      </c>
      <c r="F383" s="187" t="s">
        <v>319</v>
      </c>
      <c r="G383" s="184">
        <f t="shared" si="5"/>
        <v>0</v>
      </c>
    </row>
    <row r="384" spans="1:7" x14ac:dyDescent="0.25">
      <c r="A384" s="187">
        <v>23470</v>
      </c>
      <c r="B384" s="187" t="s">
        <v>484</v>
      </c>
      <c r="C384" s="187"/>
      <c r="D384" s="188"/>
      <c r="E384" s="189">
        <v>30.5</v>
      </c>
      <c r="F384" s="187" t="s">
        <v>319</v>
      </c>
      <c r="G384" s="184">
        <f t="shared" si="5"/>
        <v>0</v>
      </c>
    </row>
    <row r="385" spans="1:7" x14ac:dyDescent="0.25">
      <c r="A385" s="187">
        <v>23480</v>
      </c>
      <c r="B385" s="187" t="s">
        <v>721</v>
      </c>
      <c r="C385" s="187"/>
      <c r="D385" s="188"/>
      <c r="E385" s="189">
        <v>47.52</v>
      </c>
      <c r="F385" s="187" t="s">
        <v>319</v>
      </c>
      <c r="G385" s="184">
        <f t="shared" si="5"/>
        <v>0</v>
      </c>
    </row>
    <row r="386" spans="1:7" x14ac:dyDescent="0.25">
      <c r="A386" s="187">
        <v>23490</v>
      </c>
      <c r="B386" s="187" t="s">
        <v>485</v>
      </c>
      <c r="C386" s="187"/>
      <c r="D386" s="188"/>
      <c r="E386" s="189">
        <v>119.741</v>
      </c>
      <c r="F386" s="187" t="s">
        <v>319</v>
      </c>
      <c r="G386" s="184">
        <f t="shared" si="5"/>
        <v>0</v>
      </c>
    </row>
    <row r="387" spans="1:7" x14ac:dyDescent="0.25">
      <c r="A387" s="187">
        <v>23500</v>
      </c>
      <c r="B387" s="187" t="s">
        <v>486</v>
      </c>
      <c r="C387" s="187"/>
      <c r="D387" s="188"/>
      <c r="E387" s="189">
        <v>133.55000000000001</v>
      </c>
      <c r="F387" s="187" t="s">
        <v>319</v>
      </c>
      <c r="G387" s="184">
        <f t="shared" si="5"/>
        <v>0</v>
      </c>
    </row>
    <row r="388" spans="1:7" x14ac:dyDescent="0.25">
      <c r="A388" s="187">
        <v>23510</v>
      </c>
      <c r="B388" s="187" t="s">
        <v>722</v>
      </c>
      <c r="C388" s="187"/>
      <c r="D388" s="188"/>
      <c r="E388" s="189">
        <v>115.25</v>
      </c>
      <c r="F388" s="187" t="s">
        <v>319</v>
      </c>
      <c r="G388" s="184">
        <f t="shared" si="5"/>
        <v>0</v>
      </c>
    </row>
    <row r="389" spans="1:7" x14ac:dyDescent="0.25">
      <c r="A389" s="187">
        <v>23520</v>
      </c>
      <c r="B389" s="187" t="s">
        <v>487</v>
      </c>
      <c r="C389" s="187"/>
      <c r="D389" s="188"/>
      <c r="E389" s="189">
        <v>174.5</v>
      </c>
      <c r="F389" s="187" t="s">
        <v>319</v>
      </c>
      <c r="G389" s="184">
        <f t="shared" si="5"/>
        <v>0</v>
      </c>
    </row>
    <row r="390" spans="1:7" x14ac:dyDescent="0.25">
      <c r="A390" s="187">
        <v>23530</v>
      </c>
      <c r="B390" s="187" t="s">
        <v>723</v>
      </c>
      <c r="C390" s="187"/>
      <c r="D390" s="188"/>
      <c r="E390" s="189">
        <v>251</v>
      </c>
      <c r="F390" s="187" t="s">
        <v>319</v>
      </c>
      <c r="G390" s="184">
        <f t="shared" si="5"/>
        <v>0</v>
      </c>
    </row>
    <row r="391" spans="1:7" x14ac:dyDescent="0.25">
      <c r="A391" s="187">
        <v>25000</v>
      </c>
      <c r="B391" s="187" t="s">
        <v>488</v>
      </c>
      <c r="C391" s="187"/>
      <c r="D391" s="190">
        <v>3</v>
      </c>
      <c r="E391" s="189">
        <v>2.33</v>
      </c>
      <c r="F391" s="187" t="s">
        <v>319</v>
      </c>
      <c r="G391" s="184">
        <f t="shared" si="5"/>
        <v>6.99</v>
      </c>
    </row>
    <row r="392" spans="1:7" x14ac:dyDescent="0.25">
      <c r="A392" s="187">
        <v>25010</v>
      </c>
      <c r="B392" s="187" t="s">
        <v>940</v>
      </c>
      <c r="C392" s="206"/>
      <c r="D392" s="190">
        <v>1</v>
      </c>
      <c r="E392" s="189">
        <v>2.93</v>
      </c>
      <c r="F392" s="187" t="s">
        <v>319</v>
      </c>
      <c r="G392" s="184">
        <f t="shared" si="5"/>
        <v>2.93</v>
      </c>
    </row>
    <row r="393" spans="1:7" x14ac:dyDescent="0.25">
      <c r="A393" s="187">
        <v>25020</v>
      </c>
      <c r="B393" s="187" t="s">
        <v>941</v>
      </c>
      <c r="C393" s="187"/>
      <c r="D393" s="190">
        <v>3</v>
      </c>
      <c r="E393" s="189">
        <v>3.6</v>
      </c>
      <c r="F393" s="187" t="s">
        <v>319</v>
      </c>
      <c r="G393" s="184">
        <f t="shared" si="5"/>
        <v>10.8</v>
      </c>
    </row>
    <row r="394" spans="1:7" x14ac:dyDescent="0.25">
      <c r="A394" s="187">
        <v>25030</v>
      </c>
      <c r="B394" s="187" t="s">
        <v>942</v>
      </c>
      <c r="C394" s="187"/>
      <c r="D394" s="188"/>
      <c r="E394" s="189">
        <v>4.4800000000000004</v>
      </c>
      <c r="F394" s="187" t="s">
        <v>319</v>
      </c>
      <c r="G394" s="184">
        <f t="shared" si="5"/>
        <v>0</v>
      </c>
    </row>
    <row r="395" spans="1:7" x14ac:dyDescent="0.25">
      <c r="A395" s="187">
        <v>25040</v>
      </c>
      <c r="B395" s="187" t="s">
        <v>943</v>
      </c>
      <c r="C395" s="187"/>
      <c r="D395" s="188"/>
      <c r="E395" s="189">
        <v>5.2</v>
      </c>
      <c r="F395" s="187" t="s">
        <v>319</v>
      </c>
      <c r="G395" s="184">
        <f t="shared" si="5"/>
        <v>0</v>
      </c>
    </row>
    <row r="396" spans="1:7" x14ac:dyDescent="0.25">
      <c r="A396" s="187">
        <v>25050</v>
      </c>
      <c r="B396" s="187" t="s">
        <v>944</v>
      </c>
      <c r="C396" s="187"/>
      <c r="D396" s="188"/>
      <c r="E396" s="189">
        <v>4.01</v>
      </c>
      <c r="F396" s="187" t="s">
        <v>319</v>
      </c>
      <c r="G396" s="184">
        <f t="shared" ref="G396:G459" si="6">D396*E396</f>
        <v>0</v>
      </c>
    </row>
    <row r="397" spans="1:7" x14ac:dyDescent="0.25">
      <c r="A397" s="187">
        <v>25060</v>
      </c>
      <c r="B397" s="187" t="s">
        <v>945</v>
      </c>
      <c r="C397" s="187"/>
      <c r="D397" s="188"/>
      <c r="E397" s="189">
        <v>6.72</v>
      </c>
      <c r="F397" s="187" t="s">
        <v>319</v>
      </c>
      <c r="G397" s="184">
        <f t="shared" si="6"/>
        <v>0</v>
      </c>
    </row>
    <row r="398" spans="1:7" x14ac:dyDescent="0.25">
      <c r="A398" s="187">
        <v>25070</v>
      </c>
      <c r="B398" s="187" t="s">
        <v>489</v>
      </c>
      <c r="C398" s="6"/>
      <c r="D398" s="188"/>
      <c r="E398" s="189">
        <v>8.42</v>
      </c>
      <c r="F398" s="187" t="s">
        <v>319</v>
      </c>
      <c r="G398" s="184">
        <f t="shared" si="6"/>
        <v>0</v>
      </c>
    </row>
    <row r="399" spans="1:7" x14ac:dyDescent="0.25">
      <c r="A399" s="187">
        <v>25080</v>
      </c>
      <c r="B399" s="187" t="s">
        <v>490</v>
      </c>
      <c r="C399" s="6"/>
      <c r="D399" s="188"/>
      <c r="E399" s="189">
        <v>7.39</v>
      </c>
      <c r="F399" s="187" t="s">
        <v>319</v>
      </c>
      <c r="G399" s="184">
        <f t="shared" si="6"/>
        <v>0</v>
      </c>
    </row>
    <row r="400" spans="1:7" x14ac:dyDescent="0.25">
      <c r="A400" s="187">
        <v>25090</v>
      </c>
      <c r="B400" s="187" t="s">
        <v>491</v>
      </c>
      <c r="C400" s="6"/>
      <c r="D400" s="188"/>
      <c r="E400" s="189">
        <v>14.96</v>
      </c>
      <c r="F400" s="187" t="s">
        <v>319</v>
      </c>
      <c r="G400" s="184">
        <f t="shared" si="6"/>
        <v>0</v>
      </c>
    </row>
    <row r="401" spans="1:7" x14ac:dyDescent="0.25">
      <c r="A401" s="187">
        <v>25091</v>
      </c>
      <c r="B401" s="187" t="s">
        <v>724</v>
      </c>
      <c r="C401" s="6"/>
      <c r="D401" s="188"/>
      <c r="E401" s="189">
        <v>2.04</v>
      </c>
      <c r="F401" s="187" t="s">
        <v>319</v>
      </c>
      <c r="G401" s="184">
        <f t="shared" si="6"/>
        <v>0</v>
      </c>
    </row>
    <row r="402" spans="1:7" x14ac:dyDescent="0.25">
      <c r="A402" s="187"/>
      <c r="B402" s="187" t="s">
        <v>946</v>
      </c>
      <c r="C402" s="6"/>
      <c r="D402" s="188"/>
      <c r="E402" s="189"/>
      <c r="F402" s="187" t="s">
        <v>319</v>
      </c>
      <c r="G402" s="184">
        <f t="shared" si="6"/>
        <v>0</v>
      </c>
    </row>
    <row r="403" spans="1:7" x14ac:dyDescent="0.25">
      <c r="A403" s="187"/>
      <c r="B403" s="187" t="s">
        <v>947</v>
      </c>
      <c r="C403" s="6"/>
      <c r="D403" s="188"/>
      <c r="E403" s="189"/>
      <c r="F403" s="187" t="s">
        <v>319</v>
      </c>
      <c r="G403" s="184">
        <f t="shared" si="6"/>
        <v>0</v>
      </c>
    </row>
    <row r="404" spans="1:7" x14ac:dyDescent="0.25">
      <c r="A404" s="187">
        <v>25092</v>
      </c>
      <c r="B404" s="187" t="s">
        <v>725</v>
      </c>
      <c r="C404" s="6"/>
      <c r="D404" s="188"/>
      <c r="E404" s="189">
        <v>2.04</v>
      </c>
      <c r="F404" s="187" t="s">
        <v>319</v>
      </c>
      <c r="G404" s="184">
        <f t="shared" si="6"/>
        <v>0</v>
      </c>
    </row>
    <row r="405" spans="1:7" x14ac:dyDescent="0.25">
      <c r="A405" s="187">
        <v>25093</v>
      </c>
      <c r="B405" s="187" t="s">
        <v>726</v>
      </c>
      <c r="C405" s="6"/>
      <c r="D405" s="188"/>
      <c r="E405" s="189">
        <v>2.52</v>
      </c>
      <c r="F405" s="187" t="s">
        <v>319</v>
      </c>
      <c r="G405" s="184">
        <f t="shared" si="6"/>
        <v>0</v>
      </c>
    </row>
    <row r="406" spans="1:7" x14ac:dyDescent="0.25">
      <c r="A406" s="187">
        <v>25094</v>
      </c>
      <c r="B406" s="187" t="s">
        <v>727</v>
      </c>
      <c r="C406" s="6"/>
      <c r="D406" s="188"/>
      <c r="E406" s="189">
        <v>3.53</v>
      </c>
      <c r="F406" s="187" t="s">
        <v>319</v>
      </c>
      <c r="G406" s="184">
        <f t="shared" si="6"/>
        <v>0</v>
      </c>
    </row>
    <row r="407" spans="1:7" x14ac:dyDescent="0.25">
      <c r="A407" s="187">
        <v>25095</v>
      </c>
      <c r="B407" s="187" t="s">
        <v>728</v>
      </c>
      <c r="C407" s="6"/>
      <c r="D407" s="188"/>
      <c r="E407" s="189">
        <v>5.0999999999999996</v>
      </c>
      <c r="F407" s="187" t="s">
        <v>319</v>
      </c>
      <c r="G407" s="184">
        <f t="shared" si="6"/>
        <v>0</v>
      </c>
    </row>
    <row r="408" spans="1:7" x14ac:dyDescent="0.25">
      <c r="A408" s="187">
        <v>25096</v>
      </c>
      <c r="B408" s="187" t="s">
        <v>948</v>
      </c>
      <c r="C408" s="6"/>
      <c r="D408" s="188"/>
      <c r="E408" s="189">
        <v>7.48</v>
      </c>
      <c r="F408" s="187" t="s">
        <v>319</v>
      </c>
      <c r="G408" s="184">
        <f t="shared" si="6"/>
        <v>0</v>
      </c>
    </row>
    <row r="409" spans="1:7" x14ac:dyDescent="0.25">
      <c r="A409" s="187">
        <v>25097</v>
      </c>
      <c r="B409" s="187" t="s">
        <v>729</v>
      </c>
      <c r="C409" s="6"/>
      <c r="D409" s="188"/>
      <c r="E409" s="189">
        <v>1.88</v>
      </c>
      <c r="F409" s="187" t="s">
        <v>319</v>
      </c>
      <c r="G409" s="184">
        <f t="shared" si="6"/>
        <v>0</v>
      </c>
    </row>
    <row r="410" spans="1:7" x14ac:dyDescent="0.25">
      <c r="A410" s="187">
        <v>25098</v>
      </c>
      <c r="B410" s="187" t="s">
        <v>730</v>
      </c>
      <c r="C410" s="6"/>
      <c r="D410" s="188"/>
      <c r="E410" s="189">
        <v>1.88</v>
      </c>
      <c r="F410" s="187" t="s">
        <v>319</v>
      </c>
      <c r="G410" s="184">
        <f t="shared" si="6"/>
        <v>0</v>
      </c>
    </row>
    <row r="411" spans="1:7" x14ac:dyDescent="0.25">
      <c r="A411" s="187">
        <v>25099</v>
      </c>
      <c r="B411" s="199" t="s">
        <v>949</v>
      </c>
      <c r="C411" s="6"/>
      <c r="D411" s="188"/>
      <c r="E411" s="189">
        <v>4.34</v>
      </c>
      <c r="F411" s="187" t="s">
        <v>319</v>
      </c>
      <c r="G411" s="184">
        <f t="shared" si="6"/>
        <v>0</v>
      </c>
    </row>
    <row r="412" spans="1:7" x14ac:dyDescent="0.25">
      <c r="A412" s="187">
        <v>25100</v>
      </c>
      <c r="B412" s="187" t="s">
        <v>950</v>
      </c>
      <c r="C412" s="6"/>
      <c r="D412" s="188"/>
      <c r="E412" s="189">
        <v>5.6</v>
      </c>
      <c r="F412" s="187" t="s">
        <v>319</v>
      </c>
      <c r="G412" s="184">
        <f t="shared" si="6"/>
        <v>0</v>
      </c>
    </row>
    <row r="413" spans="1:7" x14ac:dyDescent="0.25">
      <c r="A413" s="187">
        <v>25110</v>
      </c>
      <c r="B413" s="187" t="s">
        <v>951</v>
      </c>
      <c r="C413" s="6"/>
      <c r="D413" s="188"/>
      <c r="E413" s="189">
        <v>6.9269999999999996</v>
      </c>
      <c r="F413" s="187" t="s">
        <v>319</v>
      </c>
      <c r="G413" s="184">
        <f t="shared" si="6"/>
        <v>0</v>
      </c>
    </row>
    <row r="414" spans="1:7" x14ac:dyDescent="0.25">
      <c r="A414" s="187">
        <v>25120</v>
      </c>
      <c r="B414" s="187" t="s">
        <v>952</v>
      </c>
      <c r="C414" s="6"/>
      <c r="D414" s="188"/>
      <c r="E414" s="189">
        <v>2.23</v>
      </c>
      <c r="F414" s="187" t="s">
        <v>319</v>
      </c>
      <c r="G414" s="184">
        <f t="shared" si="6"/>
        <v>0</v>
      </c>
    </row>
    <row r="415" spans="1:7" x14ac:dyDescent="0.25">
      <c r="A415" s="187">
        <v>25125</v>
      </c>
      <c r="B415" s="187" t="s">
        <v>953</v>
      </c>
      <c r="C415" s="6"/>
      <c r="D415" s="188"/>
      <c r="E415" s="189">
        <v>5.0999999999999996</v>
      </c>
      <c r="F415" s="187" t="s">
        <v>319</v>
      </c>
      <c r="G415" s="184">
        <f t="shared" si="6"/>
        <v>0</v>
      </c>
    </row>
    <row r="416" spans="1:7" x14ac:dyDescent="0.25">
      <c r="A416" s="187">
        <v>25130</v>
      </c>
      <c r="B416" s="187" t="s">
        <v>954</v>
      </c>
      <c r="C416" s="6"/>
      <c r="D416" s="190">
        <v>2</v>
      </c>
      <c r="E416" s="189">
        <v>5.01</v>
      </c>
      <c r="F416" s="187" t="s">
        <v>319</v>
      </c>
      <c r="G416" s="184">
        <f t="shared" si="6"/>
        <v>10.02</v>
      </c>
    </row>
    <row r="417" spans="1:7" x14ac:dyDescent="0.25">
      <c r="A417" s="187">
        <v>25140</v>
      </c>
      <c r="B417" s="187" t="s">
        <v>955</v>
      </c>
      <c r="C417" s="6"/>
      <c r="D417" s="188"/>
      <c r="E417" s="189">
        <v>4.3499999999999996</v>
      </c>
      <c r="F417" s="187" t="s">
        <v>319</v>
      </c>
      <c r="G417" s="184">
        <f t="shared" si="6"/>
        <v>0</v>
      </c>
    </row>
    <row r="418" spans="1:7" x14ac:dyDescent="0.25">
      <c r="A418" s="187">
        <v>25150</v>
      </c>
      <c r="B418" s="187" t="s">
        <v>492</v>
      </c>
      <c r="C418" s="6"/>
      <c r="D418" s="188"/>
      <c r="E418" s="189">
        <v>5.03</v>
      </c>
      <c r="F418" s="187" t="s">
        <v>319</v>
      </c>
      <c r="G418" s="184">
        <f t="shared" si="6"/>
        <v>0</v>
      </c>
    </row>
    <row r="419" spans="1:7" x14ac:dyDescent="0.25">
      <c r="A419" s="187">
        <v>25160</v>
      </c>
      <c r="B419" s="187" t="s">
        <v>493</v>
      </c>
      <c r="C419" s="6"/>
      <c r="D419" s="188"/>
      <c r="E419" s="189">
        <v>5.1109999999999998</v>
      </c>
      <c r="F419" s="187" t="s">
        <v>319</v>
      </c>
      <c r="G419" s="184">
        <f t="shared" si="6"/>
        <v>0</v>
      </c>
    </row>
    <row r="420" spans="1:7" x14ac:dyDescent="0.25">
      <c r="A420" s="187">
        <v>25170</v>
      </c>
      <c r="B420" s="187" t="s">
        <v>731</v>
      </c>
      <c r="C420" s="6"/>
      <c r="D420" s="188"/>
      <c r="E420" s="189">
        <v>10.33</v>
      </c>
      <c r="F420" s="187" t="s">
        <v>319</v>
      </c>
      <c r="G420" s="184">
        <f t="shared" si="6"/>
        <v>0</v>
      </c>
    </row>
    <row r="421" spans="1:7" x14ac:dyDescent="0.25">
      <c r="A421" s="187">
        <v>25180</v>
      </c>
      <c r="B421" s="187" t="s">
        <v>956</v>
      </c>
      <c r="C421" s="6"/>
      <c r="D421" s="188"/>
      <c r="E421" s="189">
        <v>9.16</v>
      </c>
      <c r="F421" s="187" t="s">
        <v>319</v>
      </c>
      <c r="G421" s="184">
        <f t="shared" si="6"/>
        <v>0</v>
      </c>
    </row>
    <row r="422" spans="1:7" x14ac:dyDescent="0.25">
      <c r="A422" s="187">
        <v>25190</v>
      </c>
      <c r="B422" s="187" t="s">
        <v>958</v>
      </c>
      <c r="C422" s="6"/>
      <c r="D422" s="188"/>
      <c r="E422" s="189">
        <v>7.69</v>
      </c>
      <c r="F422" s="187" t="s">
        <v>319</v>
      </c>
      <c r="G422" s="184">
        <f t="shared" si="6"/>
        <v>0</v>
      </c>
    </row>
    <row r="423" spans="1:7" x14ac:dyDescent="0.25">
      <c r="A423" s="187">
        <v>25200</v>
      </c>
      <c r="B423" s="187" t="s">
        <v>732</v>
      </c>
      <c r="C423" s="6"/>
      <c r="D423" s="188"/>
      <c r="E423" s="189">
        <v>10.33</v>
      </c>
      <c r="F423" s="187" t="s">
        <v>319</v>
      </c>
      <c r="G423" s="184">
        <f t="shared" si="6"/>
        <v>0</v>
      </c>
    </row>
    <row r="424" spans="1:7" x14ac:dyDescent="0.25">
      <c r="A424" s="187">
        <v>25210</v>
      </c>
      <c r="B424" s="187" t="s">
        <v>494</v>
      </c>
      <c r="C424" s="6"/>
      <c r="D424" s="188"/>
      <c r="E424" s="189">
        <v>17.98</v>
      </c>
      <c r="F424" s="187" t="s">
        <v>319</v>
      </c>
      <c r="G424" s="184">
        <f t="shared" si="6"/>
        <v>0</v>
      </c>
    </row>
    <row r="425" spans="1:7" x14ac:dyDescent="0.25">
      <c r="A425" s="187">
        <v>25220</v>
      </c>
      <c r="B425" s="187" t="s">
        <v>957</v>
      </c>
      <c r="C425" s="6"/>
      <c r="D425" s="188"/>
      <c r="E425" s="189">
        <v>13.61</v>
      </c>
      <c r="F425" s="187" t="s">
        <v>319</v>
      </c>
      <c r="G425" s="184">
        <f t="shared" si="6"/>
        <v>0</v>
      </c>
    </row>
    <row r="426" spans="1:7" x14ac:dyDescent="0.25">
      <c r="A426" s="187">
        <v>25230</v>
      </c>
      <c r="B426" s="187" t="s">
        <v>733</v>
      </c>
      <c r="C426" s="6"/>
      <c r="D426" s="188"/>
      <c r="E426" s="189">
        <v>9.56</v>
      </c>
      <c r="F426" s="187" t="s">
        <v>319</v>
      </c>
      <c r="G426" s="184">
        <f t="shared" si="6"/>
        <v>0</v>
      </c>
    </row>
    <row r="427" spans="1:7" x14ac:dyDescent="0.25">
      <c r="A427" s="187">
        <v>25240</v>
      </c>
      <c r="B427" s="187" t="s">
        <v>960</v>
      </c>
      <c r="C427" s="6"/>
      <c r="D427" s="188"/>
      <c r="E427" s="189">
        <v>16.12</v>
      </c>
      <c r="F427" s="187" t="s">
        <v>319</v>
      </c>
      <c r="G427" s="184">
        <f t="shared" si="6"/>
        <v>0</v>
      </c>
    </row>
    <row r="428" spans="1:7" x14ac:dyDescent="0.25">
      <c r="A428" s="187">
        <v>25250</v>
      </c>
      <c r="B428" s="187" t="s">
        <v>959</v>
      </c>
      <c r="C428" s="6"/>
      <c r="D428" s="188"/>
      <c r="E428" s="189">
        <v>15.32</v>
      </c>
      <c r="F428" s="187" t="s">
        <v>319</v>
      </c>
      <c r="G428" s="184">
        <f t="shared" si="6"/>
        <v>0</v>
      </c>
    </row>
    <row r="429" spans="1:7" x14ac:dyDescent="0.25">
      <c r="A429" s="187">
        <v>25260</v>
      </c>
      <c r="B429" s="187" t="s">
        <v>961</v>
      </c>
      <c r="C429" s="6"/>
      <c r="D429" s="188"/>
      <c r="E429" s="189">
        <v>18.55</v>
      </c>
      <c r="F429" s="187" t="s">
        <v>319</v>
      </c>
      <c r="G429" s="184">
        <f t="shared" si="6"/>
        <v>0</v>
      </c>
    </row>
    <row r="430" spans="1:7" x14ac:dyDescent="0.25">
      <c r="A430" s="187">
        <v>25270</v>
      </c>
      <c r="B430" s="187" t="s">
        <v>734</v>
      </c>
      <c r="C430" s="6"/>
      <c r="D430" s="188"/>
      <c r="E430" s="189">
        <v>10.210000000000001</v>
      </c>
      <c r="F430" s="187" t="s">
        <v>319</v>
      </c>
      <c r="G430" s="184">
        <f t="shared" si="6"/>
        <v>0</v>
      </c>
    </row>
    <row r="431" spans="1:7" x14ac:dyDescent="0.25">
      <c r="A431" s="187">
        <v>25280</v>
      </c>
      <c r="B431" s="187" t="s">
        <v>495</v>
      </c>
      <c r="C431" s="6"/>
      <c r="D431" s="188"/>
      <c r="E431" s="189">
        <v>11.84</v>
      </c>
      <c r="F431" s="187" t="s">
        <v>319</v>
      </c>
      <c r="G431" s="184">
        <f t="shared" si="6"/>
        <v>0</v>
      </c>
    </row>
    <row r="432" spans="1:7" x14ac:dyDescent="0.25">
      <c r="A432" s="187">
        <v>25290</v>
      </c>
      <c r="B432" s="187" t="s">
        <v>496</v>
      </c>
      <c r="C432" s="6"/>
      <c r="D432" s="188"/>
      <c r="E432" s="189">
        <v>14.58</v>
      </c>
      <c r="F432" s="187" t="s">
        <v>319</v>
      </c>
      <c r="G432" s="184">
        <f t="shared" si="6"/>
        <v>0</v>
      </c>
    </row>
    <row r="433" spans="1:7" x14ac:dyDescent="0.25">
      <c r="A433" s="187">
        <v>25300</v>
      </c>
      <c r="B433" s="187" t="s">
        <v>497</v>
      </c>
      <c r="C433" s="6"/>
      <c r="D433" s="188"/>
      <c r="E433" s="189">
        <v>8.73</v>
      </c>
      <c r="F433" s="187" t="s">
        <v>319</v>
      </c>
      <c r="G433" s="184">
        <f t="shared" si="6"/>
        <v>0</v>
      </c>
    </row>
    <row r="434" spans="1:7" x14ac:dyDescent="0.25">
      <c r="A434" s="187">
        <v>25310</v>
      </c>
      <c r="B434" s="187" t="s">
        <v>498</v>
      </c>
      <c r="C434" s="6"/>
      <c r="D434" s="188"/>
      <c r="E434" s="189">
        <v>11.08</v>
      </c>
      <c r="F434" s="187" t="s">
        <v>319</v>
      </c>
      <c r="G434" s="184">
        <f t="shared" si="6"/>
        <v>0</v>
      </c>
    </row>
    <row r="435" spans="1:7" x14ac:dyDescent="0.25">
      <c r="A435" s="187">
        <v>25320</v>
      </c>
      <c r="B435" s="187" t="s">
        <v>499</v>
      </c>
      <c r="C435" s="6"/>
      <c r="D435" s="188"/>
      <c r="E435" s="189">
        <v>15.06</v>
      </c>
      <c r="F435" s="187" t="s">
        <v>319</v>
      </c>
      <c r="G435" s="184">
        <f t="shared" si="6"/>
        <v>0</v>
      </c>
    </row>
    <row r="436" spans="1:7" x14ac:dyDescent="0.25">
      <c r="A436" s="187">
        <v>25330</v>
      </c>
      <c r="B436" s="187" t="s">
        <v>500</v>
      </c>
      <c r="C436" s="6"/>
      <c r="D436" s="188"/>
      <c r="E436" s="189">
        <v>19.3</v>
      </c>
      <c r="F436" s="187" t="s">
        <v>319</v>
      </c>
      <c r="G436" s="184">
        <f t="shared" si="6"/>
        <v>0</v>
      </c>
    </row>
    <row r="437" spans="1:7" x14ac:dyDescent="0.25">
      <c r="A437" s="187">
        <v>25340</v>
      </c>
      <c r="B437" s="187" t="s">
        <v>501</v>
      </c>
      <c r="C437" s="6"/>
      <c r="D437" s="191">
        <v>1</v>
      </c>
      <c r="E437" s="189">
        <v>11.19</v>
      </c>
      <c r="F437" s="187" t="s">
        <v>445</v>
      </c>
      <c r="G437" s="184">
        <f t="shared" si="6"/>
        <v>11.19</v>
      </c>
    </row>
    <row r="438" spans="1:7" x14ac:dyDescent="0.25">
      <c r="A438" s="187">
        <v>25350</v>
      </c>
      <c r="B438" s="187" t="s">
        <v>502</v>
      </c>
      <c r="C438" s="6"/>
      <c r="D438" s="188"/>
      <c r="E438" s="189">
        <v>17.21</v>
      </c>
      <c r="F438" s="187" t="s">
        <v>445</v>
      </c>
      <c r="G438" s="184">
        <f t="shared" si="6"/>
        <v>0</v>
      </c>
    </row>
    <row r="439" spans="1:7" x14ac:dyDescent="0.25">
      <c r="A439" s="187">
        <v>25360</v>
      </c>
      <c r="B439" s="187" t="s">
        <v>503</v>
      </c>
      <c r="C439" s="6"/>
      <c r="D439" s="188"/>
      <c r="E439" s="189">
        <v>18.850000000000001</v>
      </c>
      <c r="F439" s="187" t="s">
        <v>319</v>
      </c>
      <c r="G439" s="184">
        <f t="shared" si="6"/>
        <v>0</v>
      </c>
    </row>
    <row r="440" spans="1:7" x14ac:dyDescent="0.25">
      <c r="A440" s="187">
        <v>25370</v>
      </c>
      <c r="B440" s="187" t="s">
        <v>504</v>
      </c>
      <c r="C440" s="6"/>
      <c r="D440" s="191">
        <v>1</v>
      </c>
      <c r="E440" s="189">
        <v>20.7</v>
      </c>
      <c r="F440" s="187" t="s">
        <v>319</v>
      </c>
      <c r="G440" s="184">
        <f t="shared" si="6"/>
        <v>20.7</v>
      </c>
    </row>
    <row r="441" spans="1:7" x14ac:dyDescent="0.25">
      <c r="A441" s="187">
        <v>25380</v>
      </c>
      <c r="B441" s="187" t="s">
        <v>962</v>
      </c>
      <c r="C441" s="6"/>
      <c r="D441" s="188"/>
      <c r="E441" s="189">
        <v>19</v>
      </c>
      <c r="F441" s="187" t="s">
        <v>319</v>
      </c>
      <c r="G441" s="184">
        <f t="shared" si="6"/>
        <v>0</v>
      </c>
    </row>
    <row r="442" spans="1:7" x14ac:dyDescent="0.25">
      <c r="A442" s="187">
        <v>25390</v>
      </c>
      <c r="B442" s="187" t="s">
        <v>505</v>
      </c>
      <c r="C442" s="6"/>
      <c r="D442" s="188"/>
      <c r="E442" s="189">
        <v>26.4</v>
      </c>
      <c r="F442" s="187" t="s">
        <v>319</v>
      </c>
      <c r="G442" s="184">
        <f t="shared" si="6"/>
        <v>0</v>
      </c>
    </row>
    <row r="443" spans="1:7" ht="15.75" x14ac:dyDescent="0.25">
      <c r="A443" s="187">
        <v>25400</v>
      </c>
      <c r="B443" s="187" t="s">
        <v>506</v>
      </c>
      <c r="C443" s="6"/>
      <c r="D443" s="207">
        <v>1</v>
      </c>
      <c r="E443" s="189">
        <v>24</v>
      </c>
      <c r="F443" s="187" t="s">
        <v>319</v>
      </c>
      <c r="G443" s="184">
        <f t="shared" si="6"/>
        <v>24</v>
      </c>
    </row>
    <row r="444" spans="1:7" x14ac:dyDescent="0.25">
      <c r="A444" s="187">
        <v>25410</v>
      </c>
      <c r="B444" s="187" t="s">
        <v>507</v>
      </c>
      <c r="C444" s="6"/>
      <c r="D444" s="188"/>
      <c r="E444" s="189">
        <v>1.82</v>
      </c>
      <c r="F444" s="187" t="s">
        <v>319</v>
      </c>
      <c r="G444" s="184">
        <f t="shared" si="6"/>
        <v>0</v>
      </c>
    </row>
    <row r="445" spans="1:7" x14ac:dyDescent="0.25">
      <c r="A445" s="187">
        <v>25420</v>
      </c>
      <c r="B445" s="187" t="s">
        <v>508</v>
      </c>
      <c r="C445" s="6"/>
      <c r="D445" s="190">
        <v>1</v>
      </c>
      <c r="E445" s="189">
        <v>2.54</v>
      </c>
      <c r="F445" s="187" t="s">
        <v>319</v>
      </c>
      <c r="G445" s="184">
        <f t="shared" si="6"/>
        <v>2.54</v>
      </c>
    </row>
    <row r="446" spans="1:7" x14ac:dyDescent="0.25">
      <c r="A446" s="187">
        <v>25430</v>
      </c>
      <c r="B446" s="187" t="s">
        <v>509</v>
      </c>
      <c r="C446" s="6"/>
      <c r="D446" s="188"/>
      <c r="E446" s="189">
        <v>1.84</v>
      </c>
      <c r="F446" s="187" t="s">
        <v>319</v>
      </c>
      <c r="G446" s="184">
        <f t="shared" si="6"/>
        <v>0</v>
      </c>
    </row>
    <row r="447" spans="1:7" x14ac:dyDescent="0.25">
      <c r="A447" s="187">
        <v>25440</v>
      </c>
      <c r="B447" s="187" t="s">
        <v>963</v>
      </c>
      <c r="C447" s="6"/>
      <c r="D447" s="191">
        <v>1</v>
      </c>
      <c r="E447" s="195">
        <v>2.39</v>
      </c>
      <c r="F447" s="187" t="s">
        <v>319</v>
      </c>
      <c r="G447" s="184">
        <f t="shared" si="6"/>
        <v>2.39</v>
      </c>
    </row>
    <row r="448" spans="1:7" x14ac:dyDescent="0.25">
      <c r="A448" s="187">
        <v>25450</v>
      </c>
      <c r="B448" s="187" t="s">
        <v>964</v>
      </c>
      <c r="C448" s="6"/>
      <c r="D448" s="188"/>
      <c r="E448" s="195">
        <v>1.95</v>
      </c>
      <c r="F448" s="187" t="s">
        <v>319</v>
      </c>
      <c r="G448" s="184">
        <f t="shared" si="6"/>
        <v>0</v>
      </c>
    </row>
    <row r="449" spans="1:7" x14ac:dyDescent="0.25">
      <c r="A449" s="187">
        <v>25460</v>
      </c>
      <c r="B449" s="187" t="s">
        <v>510</v>
      </c>
      <c r="C449" s="6"/>
      <c r="D449" s="188"/>
      <c r="E449" s="195">
        <v>2.36</v>
      </c>
      <c r="F449" s="187" t="s">
        <v>319</v>
      </c>
      <c r="G449" s="184">
        <f t="shared" si="6"/>
        <v>0</v>
      </c>
    </row>
    <row r="450" spans="1:7" x14ac:dyDescent="0.25">
      <c r="A450" s="187">
        <v>25470</v>
      </c>
      <c r="B450" s="187" t="s">
        <v>965</v>
      </c>
      <c r="C450" s="6"/>
      <c r="D450" s="188"/>
      <c r="E450" s="195">
        <v>2.13</v>
      </c>
      <c r="F450" s="187" t="s">
        <v>319</v>
      </c>
      <c r="G450" s="184">
        <f t="shared" si="6"/>
        <v>0</v>
      </c>
    </row>
    <row r="451" spans="1:7" x14ac:dyDescent="0.25">
      <c r="A451" s="187">
        <v>25480</v>
      </c>
      <c r="B451" s="187" t="s">
        <v>966</v>
      </c>
      <c r="C451" s="6"/>
      <c r="D451" s="188"/>
      <c r="E451" s="195">
        <v>2.13</v>
      </c>
      <c r="F451" s="187" t="s">
        <v>319</v>
      </c>
      <c r="G451" s="184">
        <f t="shared" si="6"/>
        <v>0</v>
      </c>
    </row>
    <row r="452" spans="1:7" x14ac:dyDescent="0.25">
      <c r="A452" s="187">
        <v>25490</v>
      </c>
      <c r="B452" s="187" t="s">
        <v>511</v>
      </c>
      <c r="C452" s="6"/>
      <c r="D452" s="188"/>
      <c r="E452" s="195">
        <v>2.35</v>
      </c>
      <c r="F452" s="187" t="s">
        <v>319</v>
      </c>
      <c r="G452" s="184">
        <f t="shared" si="6"/>
        <v>0</v>
      </c>
    </row>
    <row r="453" spans="1:7" x14ac:dyDescent="0.25">
      <c r="A453" s="187">
        <v>25500</v>
      </c>
      <c r="B453" s="187" t="s">
        <v>512</v>
      </c>
      <c r="C453" s="6"/>
      <c r="D453" s="188"/>
      <c r="E453" s="195">
        <v>2.36</v>
      </c>
      <c r="F453" s="187" t="s">
        <v>319</v>
      </c>
      <c r="G453" s="184">
        <f t="shared" si="6"/>
        <v>0</v>
      </c>
    </row>
    <row r="454" spans="1:7" x14ac:dyDescent="0.25">
      <c r="A454" s="187">
        <v>25510</v>
      </c>
      <c r="B454" s="187" t="s">
        <v>513</v>
      </c>
      <c r="C454" s="6"/>
      <c r="D454" s="188"/>
      <c r="E454" s="195">
        <v>2.41</v>
      </c>
      <c r="F454" s="187" t="s">
        <v>319</v>
      </c>
      <c r="G454" s="184">
        <f t="shared" si="6"/>
        <v>0</v>
      </c>
    </row>
    <row r="455" spans="1:7" x14ac:dyDescent="0.25">
      <c r="A455" s="187">
        <v>25520</v>
      </c>
      <c r="B455" s="187" t="s">
        <v>967</v>
      </c>
      <c r="C455" s="6"/>
      <c r="D455" s="188"/>
      <c r="E455" s="189">
        <v>6.36</v>
      </c>
      <c r="F455" s="187" t="s">
        <v>319</v>
      </c>
      <c r="G455" s="184">
        <f t="shared" si="6"/>
        <v>0</v>
      </c>
    </row>
    <row r="456" spans="1:7" x14ac:dyDescent="0.25">
      <c r="A456" s="187">
        <v>25530</v>
      </c>
      <c r="B456" s="187" t="s">
        <v>514</v>
      </c>
      <c r="C456" s="6"/>
      <c r="D456" s="188"/>
      <c r="E456" s="189">
        <v>5.42</v>
      </c>
      <c r="F456" s="187" t="s">
        <v>319</v>
      </c>
      <c r="G456" s="184">
        <f t="shared" si="6"/>
        <v>0</v>
      </c>
    </row>
    <row r="457" spans="1:7" x14ac:dyDescent="0.25">
      <c r="A457" s="187">
        <v>25540</v>
      </c>
      <c r="B457" s="187" t="s">
        <v>515</v>
      </c>
      <c r="C457" s="6"/>
      <c r="D457" s="188"/>
      <c r="E457" s="189">
        <v>8.4700000000000006</v>
      </c>
      <c r="F457" s="187" t="s">
        <v>319</v>
      </c>
      <c r="G457" s="184">
        <f t="shared" si="6"/>
        <v>0</v>
      </c>
    </row>
    <row r="458" spans="1:7" x14ac:dyDescent="0.25">
      <c r="A458" s="187">
        <v>25550</v>
      </c>
      <c r="B458" s="187" t="s">
        <v>516</v>
      </c>
      <c r="C458" s="6"/>
      <c r="D458" s="188"/>
      <c r="E458" s="187">
        <v>11.5</v>
      </c>
      <c r="F458" s="187" t="s">
        <v>319</v>
      </c>
      <c r="G458" s="184">
        <f t="shared" si="6"/>
        <v>0</v>
      </c>
    </row>
    <row r="459" spans="1:7" x14ac:dyDescent="0.25">
      <c r="A459" s="187">
        <v>25560</v>
      </c>
      <c r="B459" s="187" t="s">
        <v>517</v>
      </c>
      <c r="C459" s="6"/>
      <c r="D459" s="188"/>
      <c r="E459" s="187">
        <v>14.77</v>
      </c>
      <c r="F459" s="187" t="s">
        <v>319</v>
      </c>
      <c r="G459" s="184">
        <f t="shared" si="6"/>
        <v>0</v>
      </c>
    </row>
    <row r="460" spans="1:7" x14ac:dyDescent="0.25">
      <c r="A460" s="187">
        <v>25570</v>
      </c>
      <c r="B460" s="187" t="s">
        <v>518</v>
      </c>
      <c r="C460" s="6"/>
      <c r="D460" s="188"/>
      <c r="E460" s="187">
        <v>17.8</v>
      </c>
      <c r="F460" s="187" t="s">
        <v>319</v>
      </c>
      <c r="G460" s="184">
        <f t="shared" ref="G460:G523" si="7">D460*E460</f>
        <v>0</v>
      </c>
    </row>
    <row r="461" spans="1:7" x14ac:dyDescent="0.25">
      <c r="A461" s="187">
        <v>25580</v>
      </c>
      <c r="B461" s="187" t="s">
        <v>519</v>
      </c>
      <c r="C461" s="6"/>
      <c r="D461" s="188"/>
      <c r="E461" s="187">
        <v>14.33</v>
      </c>
      <c r="F461" s="187" t="s">
        <v>319</v>
      </c>
      <c r="G461" s="184">
        <f t="shared" si="7"/>
        <v>0</v>
      </c>
    </row>
    <row r="462" spans="1:7" x14ac:dyDescent="0.25">
      <c r="A462" s="187">
        <v>25590</v>
      </c>
      <c r="B462" s="187" t="s">
        <v>520</v>
      </c>
      <c r="C462" s="6"/>
      <c r="D462" s="188"/>
      <c r="E462" s="189">
        <v>7.51</v>
      </c>
      <c r="F462" s="187" t="s">
        <v>319</v>
      </c>
      <c r="G462" s="184">
        <f t="shared" si="7"/>
        <v>0</v>
      </c>
    </row>
    <row r="463" spans="1:7" x14ac:dyDescent="0.25">
      <c r="A463" s="187">
        <v>25600</v>
      </c>
      <c r="B463" s="187" t="s">
        <v>521</v>
      </c>
      <c r="C463" s="6"/>
      <c r="D463" s="188"/>
      <c r="E463" s="189">
        <v>5.05</v>
      </c>
      <c r="F463" s="187" t="s">
        <v>319</v>
      </c>
      <c r="G463" s="184">
        <f t="shared" si="7"/>
        <v>0</v>
      </c>
    </row>
    <row r="464" spans="1:7" x14ac:dyDescent="0.25">
      <c r="A464" s="187">
        <v>25610</v>
      </c>
      <c r="B464" s="187" t="s">
        <v>522</v>
      </c>
      <c r="C464" s="6"/>
      <c r="D464" s="188"/>
      <c r="E464" s="200">
        <v>2.02</v>
      </c>
      <c r="F464" s="187" t="s">
        <v>319</v>
      </c>
      <c r="G464" s="184">
        <f t="shared" si="7"/>
        <v>0</v>
      </c>
    </row>
    <row r="465" spans="1:7" x14ac:dyDescent="0.25">
      <c r="A465" s="187">
        <v>25620</v>
      </c>
      <c r="B465" s="204" t="s">
        <v>523</v>
      </c>
      <c r="C465" s="6"/>
      <c r="D465" s="188"/>
      <c r="E465" s="187">
        <v>15.65</v>
      </c>
      <c r="F465" s="187" t="s">
        <v>319</v>
      </c>
      <c r="G465" s="184">
        <f t="shared" si="7"/>
        <v>0</v>
      </c>
    </row>
    <row r="466" spans="1:7" x14ac:dyDescent="0.25">
      <c r="A466" s="187">
        <v>25630</v>
      </c>
      <c r="B466" s="187" t="s">
        <v>968</v>
      </c>
      <c r="C466" s="6"/>
      <c r="D466" s="188"/>
      <c r="E466" s="200">
        <v>7.43</v>
      </c>
      <c r="F466" s="187" t="s">
        <v>319</v>
      </c>
      <c r="G466" s="184">
        <f t="shared" si="7"/>
        <v>0</v>
      </c>
    </row>
    <row r="467" spans="1:7" ht="24" x14ac:dyDescent="0.25">
      <c r="A467" s="187"/>
      <c r="B467" s="187" t="s">
        <v>844</v>
      </c>
      <c r="C467" s="187"/>
      <c r="D467" s="6"/>
      <c r="E467" s="187">
        <v>12.23</v>
      </c>
      <c r="F467" s="187" t="s">
        <v>319</v>
      </c>
      <c r="G467" s="184">
        <f t="shared" si="7"/>
        <v>0</v>
      </c>
    </row>
    <row r="468" spans="1:7" x14ac:dyDescent="0.25">
      <c r="A468" s="187">
        <v>25640</v>
      </c>
      <c r="B468" s="187" t="s">
        <v>735</v>
      </c>
      <c r="C468" s="6"/>
      <c r="D468" s="188"/>
      <c r="E468" s="200">
        <v>7.04</v>
      </c>
      <c r="F468" s="187" t="s">
        <v>319</v>
      </c>
      <c r="G468" s="184">
        <f t="shared" si="7"/>
        <v>0</v>
      </c>
    </row>
    <row r="469" spans="1:7" x14ac:dyDescent="0.25">
      <c r="A469" s="187">
        <v>25650</v>
      </c>
      <c r="B469" s="187" t="s">
        <v>969</v>
      </c>
      <c r="C469" s="6"/>
      <c r="D469" s="188"/>
      <c r="E469" s="200">
        <v>6.46</v>
      </c>
      <c r="F469" s="187" t="s">
        <v>319</v>
      </c>
      <c r="G469" s="184">
        <f t="shared" si="7"/>
        <v>0</v>
      </c>
    </row>
    <row r="470" spans="1:7" x14ac:dyDescent="0.25">
      <c r="A470" s="187">
        <v>25660</v>
      </c>
      <c r="B470" s="187" t="s">
        <v>524</v>
      </c>
      <c r="C470" s="6"/>
      <c r="D470" s="188"/>
      <c r="E470" s="196">
        <v>10.28</v>
      </c>
      <c r="F470" s="187" t="s">
        <v>319</v>
      </c>
      <c r="G470" s="184">
        <f t="shared" si="7"/>
        <v>0</v>
      </c>
    </row>
    <row r="471" spans="1:7" x14ac:dyDescent="0.25">
      <c r="A471" s="187">
        <v>25670</v>
      </c>
      <c r="B471" s="187" t="s">
        <v>525</v>
      </c>
      <c r="C471" s="6"/>
      <c r="D471" s="188"/>
      <c r="E471" s="196">
        <v>13.03</v>
      </c>
      <c r="F471" s="187" t="s">
        <v>319</v>
      </c>
      <c r="G471" s="184">
        <f t="shared" si="7"/>
        <v>0</v>
      </c>
    </row>
    <row r="472" spans="1:7" x14ac:dyDescent="0.25">
      <c r="A472" s="187">
        <v>25680</v>
      </c>
      <c r="B472" s="187" t="s">
        <v>526</v>
      </c>
      <c r="C472" s="6"/>
      <c r="D472" s="188"/>
      <c r="E472" s="196">
        <v>16.940000000000001</v>
      </c>
      <c r="F472" s="187" t="s">
        <v>319</v>
      </c>
      <c r="G472" s="184">
        <f t="shared" si="7"/>
        <v>0</v>
      </c>
    </row>
    <row r="473" spans="1:7" x14ac:dyDescent="0.25">
      <c r="A473" s="187">
        <v>25690</v>
      </c>
      <c r="B473" s="187" t="s">
        <v>527</v>
      </c>
      <c r="C473" s="6"/>
      <c r="D473" s="188"/>
      <c r="E473" s="196">
        <v>20.399999999999999</v>
      </c>
      <c r="F473" s="187" t="s">
        <v>319</v>
      </c>
      <c r="G473" s="184">
        <f t="shared" si="7"/>
        <v>0</v>
      </c>
    </row>
    <row r="474" spans="1:7" x14ac:dyDescent="0.25">
      <c r="A474" s="187">
        <v>25700</v>
      </c>
      <c r="B474" s="187" t="s">
        <v>528</v>
      </c>
      <c r="C474" s="6"/>
      <c r="D474" s="188"/>
      <c r="E474" s="196">
        <v>17.22</v>
      </c>
      <c r="F474" s="187" t="s">
        <v>319</v>
      </c>
      <c r="G474" s="184">
        <f t="shared" si="7"/>
        <v>0</v>
      </c>
    </row>
    <row r="475" spans="1:7" x14ac:dyDescent="0.25">
      <c r="A475" s="187">
        <v>25710</v>
      </c>
      <c r="B475" s="187" t="s">
        <v>529</v>
      </c>
      <c r="C475" s="6"/>
      <c r="D475" s="188"/>
      <c r="E475" s="196">
        <v>10.119999999999999</v>
      </c>
      <c r="F475" s="187" t="s">
        <v>319</v>
      </c>
      <c r="G475" s="184">
        <f t="shared" si="7"/>
        <v>0</v>
      </c>
    </row>
    <row r="476" spans="1:7" x14ac:dyDescent="0.25">
      <c r="A476" s="187">
        <v>25720</v>
      </c>
      <c r="B476" s="187" t="s">
        <v>530</v>
      </c>
      <c r="C476" s="6"/>
      <c r="D476" s="188"/>
      <c r="E476" s="188"/>
      <c r="F476" s="187" t="s">
        <v>319</v>
      </c>
      <c r="G476" s="184">
        <f t="shared" si="7"/>
        <v>0</v>
      </c>
    </row>
    <row r="477" spans="1:7" x14ac:dyDescent="0.25">
      <c r="A477" s="187">
        <v>25730</v>
      </c>
      <c r="B477" s="187" t="s">
        <v>531</v>
      </c>
      <c r="C477" s="6"/>
      <c r="D477" s="188"/>
      <c r="E477" s="200">
        <v>2.9</v>
      </c>
      <c r="F477" s="187" t="s">
        <v>319</v>
      </c>
      <c r="G477" s="184">
        <f t="shared" si="7"/>
        <v>0</v>
      </c>
    </row>
    <row r="478" spans="1:7" x14ac:dyDescent="0.25">
      <c r="A478" s="187">
        <v>25740</v>
      </c>
      <c r="B478" s="187" t="s">
        <v>736</v>
      </c>
      <c r="C478" s="6"/>
      <c r="D478" s="188"/>
      <c r="E478" s="200">
        <v>7.77</v>
      </c>
      <c r="F478" s="187" t="s">
        <v>319</v>
      </c>
      <c r="G478" s="184">
        <f t="shared" si="7"/>
        <v>0</v>
      </c>
    </row>
    <row r="479" spans="1:7" x14ac:dyDescent="0.25">
      <c r="A479" s="187">
        <v>25760</v>
      </c>
      <c r="B479" s="187" t="s">
        <v>532</v>
      </c>
      <c r="C479" s="6"/>
      <c r="D479" s="188"/>
      <c r="E479" s="196">
        <v>9.5250000000000004</v>
      </c>
      <c r="F479" s="187" t="s">
        <v>319</v>
      </c>
      <c r="G479" s="184">
        <f t="shared" si="7"/>
        <v>0</v>
      </c>
    </row>
    <row r="480" spans="1:7" ht="24" x14ac:dyDescent="0.25">
      <c r="A480" s="187">
        <v>30010</v>
      </c>
      <c r="B480" s="187" t="s">
        <v>970</v>
      </c>
      <c r="C480" s="6"/>
      <c r="D480" s="190">
        <v>1</v>
      </c>
      <c r="E480" s="200">
        <v>4.18</v>
      </c>
      <c r="F480" s="187" t="s">
        <v>319</v>
      </c>
      <c r="G480" s="184">
        <f t="shared" si="7"/>
        <v>4.18</v>
      </c>
    </row>
    <row r="481" spans="1:7" x14ac:dyDescent="0.25">
      <c r="A481" s="187">
        <v>30020</v>
      </c>
      <c r="B481" s="181" t="s">
        <v>971</v>
      </c>
      <c r="C481" s="6"/>
      <c r="D481" s="188"/>
      <c r="E481" s="200">
        <v>3.48</v>
      </c>
      <c r="F481" s="187" t="s">
        <v>319</v>
      </c>
      <c r="G481" s="184">
        <f t="shared" si="7"/>
        <v>0</v>
      </c>
    </row>
    <row r="482" spans="1:7" x14ac:dyDescent="0.25">
      <c r="A482" s="187">
        <v>30030</v>
      </c>
      <c r="B482" s="187" t="s">
        <v>533</v>
      </c>
      <c r="C482" s="6"/>
      <c r="D482" s="188"/>
      <c r="E482" s="208">
        <v>17.649999999999999</v>
      </c>
      <c r="F482" s="187" t="s">
        <v>319</v>
      </c>
      <c r="G482" s="184">
        <f t="shared" si="7"/>
        <v>0</v>
      </c>
    </row>
    <row r="483" spans="1:7" x14ac:dyDescent="0.25">
      <c r="A483" s="187">
        <v>30032</v>
      </c>
      <c r="B483" s="187" t="s">
        <v>972</v>
      </c>
      <c r="C483" s="6"/>
      <c r="D483" s="188"/>
      <c r="E483" s="196">
        <v>20.83</v>
      </c>
      <c r="F483" s="187" t="s">
        <v>319</v>
      </c>
      <c r="G483" s="184">
        <f t="shared" si="7"/>
        <v>0</v>
      </c>
    </row>
    <row r="484" spans="1:7" x14ac:dyDescent="0.25">
      <c r="A484" s="187">
        <v>30035</v>
      </c>
      <c r="B484" s="187" t="s">
        <v>973</v>
      </c>
      <c r="C484" s="6"/>
      <c r="D484" s="188"/>
      <c r="E484" s="196">
        <v>40.75</v>
      </c>
      <c r="F484" s="187" t="s">
        <v>319</v>
      </c>
      <c r="G484" s="184">
        <f t="shared" si="7"/>
        <v>0</v>
      </c>
    </row>
    <row r="485" spans="1:7" x14ac:dyDescent="0.25">
      <c r="A485" s="187">
        <v>30040</v>
      </c>
      <c r="B485" s="187" t="s">
        <v>737</v>
      </c>
      <c r="C485" s="6"/>
      <c r="D485" s="190">
        <v>2</v>
      </c>
      <c r="E485" s="187">
        <v>4.68</v>
      </c>
      <c r="F485" s="187" t="s">
        <v>319</v>
      </c>
      <c r="G485" s="184">
        <f t="shared" si="7"/>
        <v>9.36</v>
      </c>
    </row>
    <row r="486" spans="1:7" x14ac:dyDescent="0.25">
      <c r="A486" s="187">
        <v>30045</v>
      </c>
      <c r="B486" s="187" t="s">
        <v>738</v>
      </c>
      <c r="C486" s="6"/>
      <c r="D486" s="188"/>
      <c r="E486" s="196">
        <v>22.06</v>
      </c>
      <c r="F486" s="187" t="s">
        <v>319</v>
      </c>
      <c r="G486" s="184">
        <f t="shared" si="7"/>
        <v>0</v>
      </c>
    </row>
    <row r="487" spans="1:7" x14ac:dyDescent="0.25">
      <c r="A487" s="187">
        <v>30060</v>
      </c>
      <c r="B487" s="187" t="s">
        <v>976</v>
      </c>
      <c r="C487" s="6"/>
      <c r="D487" s="188"/>
      <c r="E487" s="196">
        <v>28</v>
      </c>
      <c r="F487" s="187" t="s">
        <v>319</v>
      </c>
      <c r="G487" s="184">
        <f t="shared" si="7"/>
        <v>0</v>
      </c>
    </row>
    <row r="488" spans="1:7" x14ac:dyDescent="0.25">
      <c r="A488" s="187">
        <v>30070</v>
      </c>
      <c r="B488" s="187" t="s">
        <v>534</v>
      </c>
      <c r="C488" s="6"/>
      <c r="D488" s="190">
        <v>1</v>
      </c>
      <c r="E488" s="196">
        <v>13.03</v>
      </c>
      <c r="F488" s="187" t="s">
        <v>319</v>
      </c>
      <c r="G488" s="184">
        <f t="shared" si="7"/>
        <v>13.03</v>
      </c>
    </row>
    <row r="489" spans="1:7" x14ac:dyDescent="0.25">
      <c r="A489" s="187">
        <v>30050</v>
      </c>
      <c r="B489" s="187" t="s">
        <v>974</v>
      </c>
      <c r="C489" s="6"/>
      <c r="D489" s="188"/>
      <c r="E489" s="196">
        <v>28</v>
      </c>
      <c r="F489" s="187" t="s">
        <v>319</v>
      </c>
      <c r="G489" s="184">
        <f t="shared" si="7"/>
        <v>0</v>
      </c>
    </row>
    <row r="490" spans="1:7" x14ac:dyDescent="0.25">
      <c r="A490" s="187">
        <v>30073</v>
      </c>
      <c r="B490" s="187" t="s">
        <v>975</v>
      </c>
      <c r="C490" s="6"/>
      <c r="D490" s="188"/>
      <c r="E490" s="196">
        <v>48.5</v>
      </c>
      <c r="F490" s="187" t="s">
        <v>319</v>
      </c>
      <c r="G490" s="184">
        <f t="shared" si="7"/>
        <v>0</v>
      </c>
    </row>
    <row r="491" spans="1:7" x14ac:dyDescent="0.25">
      <c r="A491" s="187">
        <v>30075</v>
      </c>
      <c r="B491" s="187" t="s">
        <v>977</v>
      </c>
      <c r="C491" s="6"/>
      <c r="D491" s="188"/>
      <c r="E491" s="196">
        <v>55.24</v>
      </c>
      <c r="F491" s="187" t="s">
        <v>319</v>
      </c>
      <c r="G491" s="184">
        <f t="shared" si="7"/>
        <v>0</v>
      </c>
    </row>
    <row r="492" spans="1:7" x14ac:dyDescent="0.25">
      <c r="A492" s="187">
        <v>30100</v>
      </c>
      <c r="B492" s="187" t="s">
        <v>739</v>
      </c>
      <c r="C492" s="187"/>
      <c r="D492" s="188"/>
      <c r="E492" s="189">
        <v>32.14</v>
      </c>
      <c r="F492" s="187" t="s">
        <v>319</v>
      </c>
      <c r="G492" s="184">
        <f t="shared" si="7"/>
        <v>0</v>
      </c>
    </row>
    <row r="493" spans="1:7" x14ac:dyDescent="0.25">
      <c r="A493" s="187">
        <v>30110</v>
      </c>
      <c r="B493" s="187" t="s">
        <v>535</v>
      </c>
      <c r="C493" s="187"/>
      <c r="D493" s="190">
        <v>1</v>
      </c>
      <c r="E493" s="189">
        <v>31.4</v>
      </c>
      <c r="F493" s="187" t="s">
        <v>319</v>
      </c>
      <c r="G493" s="184">
        <f t="shared" si="7"/>
        <v>31.4</v>
      </c>
    </row>
    <row r="494" spans="1:7" x14ac:dyDescent="0.25">
      <c r="A494" s="187">
        <v>30120</v>
      </c>
      <c r="B494" s="187" t="s">
        <v>740</v>
      </c>
      <c r="C494" s="187"/>
      <c r="D494" s="188"/>
      <c r="E494" s="189">
        <v>5.8090000000000002</v>
      </c>
      <c r="F494" s="187" t="s">
        <v>319</v>
      </c>
      <c r="G494" s="184">
        <f t="shared" si="7"/>
        <v>0</v>
      </c>
    </row>
    <row r="495" spans="1:7" x14ac:dyDescent="0.25">
      <c r="A495" s="187">
        <v>30130</v>
      </c>
      <c r="B495" s="187" t="s">
        <v>741</v>
      </c>
      <c r="C495" s="187"/>
      <c r="D495" s="188"/>
      <c r="E495" s="189">
        <v>5.87</v>
      </c>
      <c r="F495" s="187" t="s">
        <v>319</v>
      </c>
      <c r="G495" s="184">
        <f t="shared" si="7"/>
        <v>0</v>
      </c>
    </row>
    <row r="496" spans="1:7" x14ac:dyDescent="0.25">
      <c r="A496" s="187">
        <v>30140</v>
      </c>
      <c r="B496" s="187" t="s">
        <v>742</v>
      </c>
      <c r="C496" s="187"/>
      <c r="D496" s="188"/>
      <c r="E496" s="189">
        <v>5.99</v>
      </c>
      <c r="F496" s="187" t="s">
        <v>319</v>
      </c>
      <c r="G496" s="184">
        <f t="shared" si="7"/>
        <v>0</v>
      </c>
    </row>
    <row r="497" spans="1:7" x14ac:dyDescent="0.25">
      <c r="A497" s="187">
        <v>30150</v>
      </c>
      <c r="B497" s="187" t="s">
        <v>743</v>
      </c>
      <c r="C497" s="187"/>
      <c r="D497" s="188"/>
      <c r="E497" s="189">
        <v>9.99</v>
      </c>
      <c r="F497" s="187" t="s">
        <v>319</v>
      </c>
      <c r="G497" s="184">
        <f t="shared" si="7"/>
        <v>0</v>
      </c>
    </row>
    <row r="498" spans="1:7" x14ac:dyDescent="0.25">
      <c r="A498" s="187">
        <v>30160</v>
      </c>
      <c r="B498" s="187" t="s">
        <v>744</v>
      </c>
      <c r="C498" s="187"/>
      <c r="D498" s="188"/>
      <c r="E498" s="189">
        <v>16.68</v>
      </c>
      <c r="F498" s="187" t="s">
        <v>319</v>
      </c>
      <c r="G498" s="184">
        <f t="shared" si="7"/>
        <v>0</v>
      </c>
    </row>
    <row r="499" spans="1:7" x14ac:dyDescent="0.25">
      <c r="A499" s="187">
        <v>30165</v>
      </c>
      <c r="B499" s="187" t="s">
        <v>745</v>
      </c>
      <c r="C499" s="187"/>
      <c r="D499" s="188"/>
      <c r="E499" s="189">
        <v>17.329999999999998</v>
      </c>
      <c r="F499" s="187" t="s">
        <v>319</v>
      </c>
      <c r="G499" s="184">
        <f t="shared" si="7"/>
        <v>0</v>
      </c>
    </row>
    <row r="500" spans="1:7" x14ac:dyDescent="0.25">
      <c r="A500" s="187">
        <v>30170</v>
      </c>
      <c r="B500" s="187" t="s">
        <v>746</v>
      </c>
      <c r="C500" s="187"/>
      <c r="D500" s="188"/>
      <c r="E500" s="189">
        <v>17.55</v>
      </c>
      <c r="F500" s="187" t="s">
        <v>319</v>
      </c>
      <c r="G500" s="184">
        <f t="shared" si="7"/>
        <v>0</v>
      </c>
    </row>
    <row r="501" spans="1:7" x14ac:dyDescent="0.25">
      <c r="A501" s="187">
        <v>39000</v>
      </c>
      <c r="B501" s="187" t="s">
        <v>747</v>
      </c>
      <c r="C501" s="187"/>
      <c r="D501" s="190">
        <v>1</v>
      </c>
      <c r="E501" s="189">
        <v>5.95</v>
      </c>
      <c r="F501" s="187" t="s">
        <v>319</v>
      </c>
      <c r="G501" s="184">
        <f t="shared" si="7"/>
        <v>5.95</v>
      </c>
    </row>
    <row r="502" spans="1:7" x14ac:dyDescent="0.25">
      <c r="A502" s="187">
        <v>39005</v>
      </c>
      <c r="B502" s="187" t="s">
        <v>978</v>
      </c>
      <c r="C502" s="187"/>
      <c r="D502" s="188"/>
      <c r="E502" s="189">
        <v>4.37</v>
      </c>
      <c r="F502" s="187" t="s">
        <v>319</v>
      </c>
      <c r="G502" s="184">
        <f t="shared" si="7"/>
        <v>0</v>
      </c>
    </row>
    <row r="503" spans="1:7" x14ac:dyDescent="0.25">
      <c r="A503" s="187">
        <v>39010</v>
      </c>
      <c r="B503" s="192" t="s">
        <v>979</v>
      </c>
      <c r="C503" s="209"/>
      <c r="D503" s="190">
        <v>2</v>
      </c>
      <c r="E503" s="189">
        <v>2.98</v>
      </c>
      <c r="F503" s="187" t="s">
        <v>319</v>
      </c>
      <c r="G503" s="184">
        <f t="shared" si="7"/>
        <v>5.96</v>
      </c>
    </row>
    <row r="504" spans="1:7" x14ac:dyDescent="0.25">
      <c r="A504" s="187">
        <v>39015</v>
      </c>
      <c r="B504" s="187" t="s">
        <v>439</v>
      </c>
      <c r="C504" s="187"/>
      <c r="D504" s="190">
        <v>3</v>
      </c>
      <c r="E504" s="189">
        <v>1.37</v>
      </c>
      <c r="F504" s="187" t="s">
        <v>319</v>
      </c>
      <c r="G504" s="184">
        <f t="shared" si="7"/>
        <v>4.1100000000000003</v>
      </c>
    </row>
    <row r="505" spans="1:7" x14ac:dyDescent="0.25">
      <c r="A505" s="187">
        <v>25760</v>
      </c>
      <c r="B505" s="187" t="s">
        <v>532</v>
      </c>
      <c r="C505" s="6"/>
      <c r="D505" s="188"/>
      <c r="E505" s="196">
        <v>9.5250000000000004</v>
      </c>
      <c r="F505" s="187" t="s">
        <v>319</v>
      </c>
      <c r="G505" s="184">
        <f t="shared" si="7"/>
        <v>0</v>
      </c>
    </row>
    <row r="506" spans="1:7" x14ac:dyDescent="0.25">
      <c r="A506" s="187">
        <v>39020</v>
      </c>
      <c r="B506" s="187" t="s">
        <v>748</v>
      </c>
      <c r="C506" s="187"/>
      <c r="D506" s="188"/>
      <c r="E506" s="189">
        <v>4.88</v>
      </c>
      <c r="F506" s="187" t="s">
        <v>319</v>
      </c>
      <c r="G506" s="184">
        <f t="shared" si="7"/>
        <v>0</v>
      </c>
    </row>
    <row r="507" spans="1:7" x14ac:dyDescent="0.25">
      <c r="A507" s="187">
        <v>39025</v>
      </c>
      <c r="B507" s="187" t="s">
        <v>749</v>
      </c>
      <c r="C507" s="187"/>
      <c r="D507" s="188"/>
      <c r="E507" s="189">
        <v>127.46599999999999</v>
      </c>
      <c r="F507" s="187" t="s">
        <v>319</v>
      </c>
      <c r="G507" s="184">
        <f t="shared" si="7"/>
        <v>0</v>
      </c>
    </row>
    <row r="508" spans="1:7" x14ac:dyDescent="0.25">
      <c r="A508" s="187">
        <v>39030</v>
      </c>
      <c r="B508" s="187" t="s">
        <v>750</v>
      </c>
      <c r="C508" s="187"/>
      <c r="D508" s="188"/>
      <c r="E508" s="189">
        <v>121.76900000000001</v>
      </c>
      <c r="F508" s="187" t="s">
        <v>319</v>
      </c>
      <c r="G508" s="184">
        <f t="shared" si="7"/>
        <v>0</v>
      </c>
    </row>
    <row r="509" spans="1:7" x14ac:dyDescent="0.25">
      <c r="A509" s="187">
        <v>39035</v>
      </c>
      <c r="B509" s="187" t="s">
        <v>751</v>
      </c>
      <c r="C509" s="187"/>
      <c r="D509" s="188"/>
      <c r="E509" s="189">
        <v>187.33600000000001</v>
      </c>
      <c r="F509" s="187" t="s">
        <v>319</v>
      </c>
      <c r="G509" s="184">
        <f t="shared" si="7"/>
        <v>0</v>
      </c>
    </row>
    <row r="510" spans="1:7" x14ac:dyDescent="0.25">
      <c r="A510" s="187">
        <v>39040</v>
      </c>
      <c r="B510" s="187" t="s">
        <v>752</v>
      </c>
      <c r="C510" s="187"/>
      <c r="D510" s="188"/>
      <c r="E510" s="189">
        <v>170</v>
      </c>
      <c r="F510" s="187" t="s">
        <v>319</v>
      </c>
      <c r="G510" s="184">
        <f t="shared" si="7"/>
        <v>0</v>
      </c>
    </row>
    <row r="511" spans="1:7" x14ac:dyDescent="0.25">
      <c r="A511" s="187">
        <v>39045</v>
      </c>
      <c r="B511" s="187" t="s">
        <v>538</v>
      </c>
      <c r="C511" s="187"/>
      <c r="D511" s="190">
        <v>4</v>
      </c>
      <c r="E511" s="189">
        <v>4.47</v>
      </c>
      <c r="F511" s="187" t="s">
        <v>319</v>
      </c>
      <c r="G511" s="184">
        <f t="shared" si="7"/>
        <v>17.88</v>
      </c>
    </row>
    <row r="512" spans="1:7" x14ac:dyDescent="0.25">
      <c r="A512" s="187">
        <v>39050</v>
      </c>
      <c r="B512" s="187" t="s">
        <v>753</v>
      </c>
      <c r="C512" s="187"/>
      <c r="D512" s="190">
        <v>50</v>
      </c>
      <c r="E512" s="189">
        <v>0.22</v>
      </c>
      <c r="F512" s="187" t="s">
        <v>319</v>
      </c>
      <c r="G512" s="184">
        <f>D512*E512</f>
        <v>11</v>
      </c>
    </row>
    <row r="513" spans="1:7" x14ac:dyDescent="0.25">
      <c r="A513" s="187">
        <v>39055</v>
      </c>
      <c r="B513" s="187" t="s">
        <v>980</v>
      </c>
      <c r="C513" s="187"/>
      <c r="D513" s="190">
        <v>2</v>
      </c>
      <c r="E513" s="190">
        <v>0.47</v>
      </c>
      <c r="F513" s="187" t="s">
        <v>319</v>
      </c>
      <c r="G513" s="184">
        <f t="shared" si="7"/>
        <v>0.94</v>
      </c>
    </row>
    <row r="514" spans="1:7" x14ac:dyDescent="0.25">
      <c r="A514" s="187">
        <v>39060</v>
      </c>
      <c r="B514" s="187" t="s">
        <v>754</v>
      </c>
      <c r="C514" s="187"/>
      <c r="D514" s="191">
        <v>1</v>
      </c>
      <c r="E514" s="189">
        <v>13.69</v>
      </c>
      <c r="F514" s="187" t="s">
        <v>319</v>
      </c>
      <c r="G514" s="184">
        <f t="shared" si="7"/>
        <v>13.69</v>
      </c>
    </row>
    <row r="515" spans="1:7" x14ac:dyDescent="0.25">
      <c r="A515" s="187">
        <v>39061</v>
      </c>
      <c r="B515" s="187" t="s">
        <v>755</v>
      </c>
      <c r="C515" s="187"/>
      <c r="D515" s="188"/>
      <c r="E515" s="189">
        <v>10.130000000000001</v>
      </c>
      <c r="F515" s="187" t="s">
        <v>319</v>
      </c>
      <c r="G515" s="184">
        <f t="shared" si="7"/>
        <v>0</v>
      </c>
    </row>
    <row r="516" spans="1:7" x14ac:dyDescent="0.25">
      <c r="A516" s="187">
        <v>39065</v>
      </c>
      <c r="B516" s="187" t="s">
        <v>756</v>
      </c>
      <c r="C516" s="187"/>
      <c r="D516" s="188"/>
      <c r="E516" s="205">
        <v>3.16</v>
      </c>
      <c r="F516" s="187" t="s">
        <v>319</v>
      </c>
      <c r="G516" s="184">
        <f t="shared" si="7"/>
        <v>0</v>
      </c>
    </row>
    <row r="517" spans="1:7" x14ac:dyDescent="0.25">
      <c r="A517" s="187">
        <v>39070</v>
      </c>
      <c r="B517" s="187" t="s">
        <v>541</v>
      </c>
      <c r="C517" s="187"/>
      <c r="D517" s="190">
        <v>4</v>
      </c>
      <c r="E517" s="189">
        <v>1.01</v>
      </c>
      <c r="F517" s="187" t="s">
        <v>319</v>
      </c>
      <c r="G517" s="184">
        <f t="shared" si="7"/>
        <v>4.04</v>
      </c>
    </row>
    <row r="518" spans="1:7" x14ac:dyDescent="0.25">
      <c r="A518" s="187">
        <v>39075</v>
      </c>
      <c r="B518" s="187" t="s">
        <v>757</v>
      </c>
      <c r="C518" s="187"/>
      <c r="D518" s="191">
        <v>1</v>
      </c>
      <c r="E518" s="189">
        <v>14.89</v>
      </c>
      <c r="F518" s="187" t="s">
        <v>319</v>
      </c>
      <c r="G518" s="184">
        <f t="shared" si="7"/>
        <v>14.89</v>
      </c>
    </row>
    <row r="519" spans="1:7" x14ac:dyDescent="0.25">
      <c r="A519" s="187">
        <v>39080</v>
      </c>
      <c r="B519" s="187" t="s">
        <v>558</v>
      </c>
      <c r="C519" s="187"/>
      <c r="D519" s="188"/>
      <c r="E519" s="189">
        <v>13.2</v>
      </c>
      <c r="F519" s="187" t="s">
        <v>319</v>
      </c>
      <c r="G519" s="184">
        <f t="shared" si="7"/>
        <v>0</v>
      </c>
    </row>
    <row r="520" spans="1:7" x14ac:dyDescent="0.25">
      <c r="A520" s="187">
        <v>39085</v>
      </c>
      <c r="B520" s="187" t="s">
        <v>559</v>
      </c>
      <c r="C520" s="187"/>
      <c r="D520" s="190">
        <v>1</v>
      </c>
      <c r="E520" s="188"/>
      <c r="F520" s="187" t="s">
        <v>319</v>
      </c>
      <c r="G520" s="184">
        <f t="shared" si="7"/>
        <v>0</v>
      </c>
    </row>
    <row r="521" spans="1:7" x14ac:dyDescent="0.25">
      <c r="A521" s="187">
        <v>39090</v>
      </c>
      <c r="B521" s="187" t="s">
        <v>758</v>
      </c>
      <c r="C521" s="187"/>
      <c r="D521" s="188"/>
      <c r="E521" s="189">
        <v>0.97599999999999998</v>
      </c>
      <c r="F521" s="187" t="s">
        <v>319</v>
      </c>
      <c r="G521" s="184">
        <f t="shared" si="7"/>
        <v>0</v>
      </c>
    </row>
    <row r="522" spans="1:7" x14ac:dyDescent="0.25">
      <c r="A522" s="187">
        <v>39095</v>
      </c>
      <c r="B522" s="187" t="s">
        <v>563</v>
      </c>
      <c r="C522" s="187"/>
      <c r="D522" s="190">
        <v>2</v>
      </c>
      <c r="E522" s="189">
        <v>2.32735</v>
      </c>
      <c r="F522" s="187" t="s">
        <v>319</v>
      </c>
      <c r="G522" s="184">
        <f t="shared" si="7"/>
        <v>4.6547000000000001</v>
      </c>
    </row>
    <row r="523" spans="1:7" x14ac:dyDescent="0.25">
      <c r="A523" s="187">
        <v>50110</v>
      </c>
      <c r="B523" s="187" t="s">
        <v>796</v>
      </c>
      <c r="C523" s="187"/>
      <c r="D523" s="188"/>
      <c r="E523" s="189">
        <v>203.38</v>
      </c>
      <c r="F523" s="187" t="s">
        <v>319</v>
      </c>
      <c r="G523" s="184">
        <f t="shared" si="7"/>
        <v>0</v>
      </c>
    </row>
    <row r="524" spans="1:7" x14ac:dyDescent="0.25">
      <c r="A524" s="187">
        <v>40030</v>
      </c>
      <c r="B524" s="187" t="s">
        <v>536</v>
      </c>
      <c r="C524" s="6"/>
      <c r="D524" s="188"/>
      <c r="E524" s="189">
        <v>1.645</v>
      </c>
      <c r="F524" s="187" t="s">
        <v>319</v>
      </c>
      <c r="G524" s="184">
        <f t="shared" ref="G524:G587" si="8">D524*E524</f>
        <v>0</v>
      </c>
    </row>
    <row r="525" spans="1:7" x14ac:dyDescent="0.25">
      <c r="A525" s="187">
        <v>40040</v>
      </c>
      <c r="B525" s="187" t="s">
        <v>537</v>
      </c>
      <c r="C525" s="6"/>
      <c r="D525" s="188"/>
      <c r="E525" s="189">
        <v>1.45</v>
      </c>
      <c r="F525" s="187" t="s">
        <v>319</v>
      </c>
      <c r="G525" s="184">
        <f t="shared" si="8"/>
        <v>0</v>
      </c>
    </row>
    <row r="526" spans="1:7" x14ac:dyDescent="0.25">
      <c r="A526" s="187">
        <v>40060</v>
      </c>
      <c r="B526" s="187" t="s">
        <v>759</v>
      </c>
      <c r="C526" s="6"/>
      <c r="D526" s="188"/>
      <c r="E526" s="189">
        <v>20.027000000000001</v>
      </c>
      <c r="F526" s="187" t="s">
        <v>319</v>
      </c>
      <c r="G526" s="184">
        <f t="shared" si="8"/>
        <v>0</v>
      </c>
    </row>
    <row r="527" spans="1:7" x14ac:dyDescent="0.25">
      <c r="A527" s="187">
        <v>40070</v>
      </c>
      <c r="B527" s="187" t="s">
        <v>760</v>
      </c>
      <c r="C527" s="6"/>
      <c r="D527" s="188"/>
      <c r="E527" s="189">
        <v>7.5140000000000002</v>
      </c>
      <c r="F527" s="187" t="s">
        <v>319</v>
      </c>
      <c r="G527" s="184">
        <f t="shared" si="8"/>
        <v>0</v>
      </c>
    </row>
    <row r="528" spans="1:7" x14ac:dyDescent="0.25">
      <c r="A528" s="187">
        <v>40080</v>
      </c>
      <c r="B528" s="187" t="s">
        <v>761</v>
      </c>
      <c r="C528" s="6"/>
      <c r="D528" s="188"/>
      <c r="E528" s="189">
        <v>12.888</v>
      </c>
      <c r="F528" s="187" t="s">
        <v>319</v>
      </c>
      <c r="G528" s="184">
        <f t="shared" si="8"/>
        <v>0</v>
      </c>
    </row>
    <row r="529" spans="1:7" x14ac:dyDescent="0.25">
      <c r="A529" s="187">
        <v>40130</v>
      </c>
      <c r="B529" s="187" t="s">
        <v>539</v>
      </c>
      <c r="C529" s="6"/>
      <c r="D529" s="188"/>
      <c r="E529" s="189">
        <v>6.37</v>
      </c>
      <c r="F529" s="187" t="s">
        <v>319</v>
      </c>
      <c r="G529" s="184">
        <f t="shared" si="8"/>
        <v>0</v>
      </c>
    </row>
    <row r="530" spans="1:7" x14ac:dyDescent="0.25">
      <c r="A530" s="187">
        <v>40150</v>
      </c>
      <c r="B530" s="187" t="s">
        <v>540</v>
      </c>
      <c r="C530" s="6"/>
      <c r="D530" s="188"/>
      <c r="E530" s="189">
        <v>14.21</v>
      </c>
      <c r="F530" s="187" t="s">
        <v>319</v>
      </c>
      <c r="G530" s="184">
        <f t="shared" si="8"/>
        <v>0</v>
      </c>
    </row>
    <row r="531" spans="1:7" x14ac:dyDescent="0.25">
      <c r="A531" s="187">
        <v>40190</v>
      </c>
      <c r="B531" s="187" t="s">
        <v>762</v>
      </c>
      <c r="C531" s="6"/>
      <c r="D531" s="188"/>
      <c r="E531" s="189">
        <v>5.33</v>
      </c>
      <c r="F531" s="187" t="s">
        <v>319</v>
      </c>
      <c r="G531" s="184">
        <f t="shared" si="8"/>
        <v>0</v>
      </c>
    </row>
    <row r="532" spans="1:7" x14ac:dyDescent="0.25">
      <c r="A532" s="187">
        <v>40200</v>
      </c>
      <c r="B532" s="187" t="s">
        <v>763</v>
      </c>
      <c r="C532" s="6"/>
      <c r="D532" s="188"/>
      <c r="E532" s="189">
        <v>7.71</v>
      </c>
      <c r="F532" s="187" t="s">
        <v>319</v>
      </c>
      <c r="G532" s="184">
        <f t="shared" si="8"/>
        <v>0</v>
      </c>
    </row>
    <row r="533" spans="1:7" x14ac:dyDescent="0.25">
      <c r="A533" s="187">
        <v>40205</v>
      </c>
      <c r="B533" s="187" t="s">
        <v>764</v>
      </c>
      <c r="C533" s="6"/>
      <c r="D533" s="188"/>
      <c r="E533" s="189">
        <v>7.52</v>
      </c>
      <c r="F533" s="187" t="s">
        <v>319</v>
      </c>
      <c r="G533" s="184">
        <f t="shared" si="8"/>
        <v>0</v>
      </c>
    </row>
    <row r="534" spans="1:7" x14ac:dyDescent="0.25">
      <c r="A534" s="187">
        <v>40210</v>
      </c>
      <c r="B534" s="187" t="s">
        <v>765</v>
      </c>
      <c r="C534" s="6"/>
      <c r="D534" s="188"/>
      <c r="E534" s="189">
        <v>10.27</v>
      </c>
      <c r="F534" s="187" t="s">
        <v>319</v>
      </c>
      <c r="G534" s="184">
        <f t="shared" si="8"/>
        <v>0</v>
      </c>
    </row>
    <row r="535" spans="1:7" x14ac:dyDescent="0.25">
      <c r="A535" s="187">
        <v>40230</v>
      </c>
      <c r="B535" s="187" t="s">
        <v>766</v>
      </c>
      <c r="C535" s="6"/>
      <c r="D535" s="188"/>
      <c r="E535" s="189">
        <v>1.55</v>
      </c>
      <c r="F535" s="187" t="s">
        <v>319</v>
      </c>
      <c r="G535" s="184">
        <f t="shared" si="8"/>
        <v>0</v>
      </c>
    </row>
    <row r="536" spans="1:7" x14ac:dyDescent="0.25">
      <c r="A536" s="187">
        <v>40240</v>
      </c>
      <c r="B536" s="187" t="s">
        <v>767</v>
      </c>
      <c r="C536" s="6"/>
      <c r="D536" s="188"/>
      <c r="E536" s="189">
        <v>54.79</v>
      </c>
      <c r="F536" s="187" t="s">
        <v>319</v>
      </c>
      <c r="G536" s="184">
        <f t="shared" si="8"/>
        <v>0</v>
      </c>
    </row>
    <row r="537" spans="1:7" x14ac:dyDescent="0.25">
      <c r="A537" s="187">
        <v>40250</v>
      </c>
      <c r="B537" s="187" t="s">
        <v>542</v>
      </c>
      <c r="C537" s="6"/>
      <c r="D537" s="188"/>
      <c r="E537" s="189">
        <v>12.67</v>
      </c>
      <c r="F537" s="187" t="s">
        <v>319</v>
      </c>
      <c r="G537" s="184">
        <f t="shared" si="8"/>
        <v>0</v>
      </c>
    </row>
    <row r="538" spans="1:7" x14ac:dyDescent="0.25">
      <c r="A538" s="187">
        <v>40260</v>
      </c>
      <c r="B538" s="187" t="s">
        <v>543</v>
      </c>
      <c r="C538" s="6"/>
      <c r="D538" s="188"/>
      <c r="E538" s="188"/>
      <c r="F538" s="187" t="s">
        <v>319</v>
      </c>
      <c r="G538" s="184">
        <f t="shared" si="8"/>
        <v>0</v>
      </c>
    </row>
    <row r="539" spans="1:7" x14ac:dyDescent="0.25">
      <c r="A539" s="187">
        <v>40270</v>
      </c>
      <c r="B539" s="187" t="s">
        <v>544</v>
      </c>
      <c r="C539" s="6"/>
      <c r="D539" s="188"/>
      <c r="E539" s="189">
        <v>8.4499999999999993</v>
      </c>
      <c r="F539" s="187" t="s">
        <v>319</v>
      </c>
      <c r="G539" s="184">
        <f t="shared" si="8"/>
        <v>0</v>
      </c>
    </row>
    <row r="540" spans="1:7" x14ac:dyDescent="0.25">
      <c r="A540" s="187">
        <v>40290</v>
      </c>
      <c r="B540" s="187" t="s">
        <v>768</v>
      </c>
      <c r="C540" s="187"/>
      <c r="D540" s="188"/>
      <c r="E540" s="189">
        <v>10.848000000000001</v>
      </c>
      <c r="F540" s="187" t="s">
        <v>319</v>
      </c>
      <c r="G540" s="184">
        <f t="shared" si="8"/>
        <v>0</v>
      </c>
    </row>
    <row r="541" spans="1:7" x14ac:dyDescent="0.25">
      <c r="A541" s="187">
        <v>40300</v>
      </c>
      <c r="B541" s="187" t="s">
        <v>769</v>
      </c>
      <c r="C541" s="187"/>
      <c r="D541" s="188"/>
      <c r="E541" s="189">
        <v>5.8674999999999997</v>
      </c>
      <c r="F541" s="187" t="s">
        <v>319</v>
      </c>
      <c r="G541" s="184">
        <f t="shared" si="8"/>
        <v>0</v>
      </c>
    </row>
    <row r="542" spans="1:7" x14ac:dyDescent="0.25">
      <c r="A542" s="187">
        <v>40310</v>
      </c>
      <c r="B542" s="187" t="s">
        <v>545</v>
      </c>
      <c r="C542" s="187"/>
      <c r="D542" s="188"/>
      <c r="E542" s="189">
        <v>9.4499999999999993</v>
      </c>
      <c r="F542" s="187" t="s">
        <v>319</v>
      </c>
      <c r="G542" s="184">
        <f t="shared" si="8"/>
        <v>0</v>
      </c>
    </row>
    <row r="543" spans="1:7" x14ac:dyDescent="0.25">
      <c r="A543" s="187">
        <v>50080</v>
      </c>
      <c r="B543" s="187" t="s">
        <v>793</v>
      </c>
      <c r="C543" s="187"/>
      <c r="D543" s="187"/>
      <c r="E543" s="189">
        <v>5.76</v>
      </c>
      <c r="F543" s="187" t="s">
        <v>319</v>
      </c>
      <c r="G543" s="184">
        <f t="shared" si="8"/>
        <v>0</v>
      </c>
    </row>
    <row r="544" spans="1:7" x14ac:dyDescent="0.25">
      <c r="A544" s="187">
        <v>40330</v>
      </c>
      <c r="B544" s="187" t="s">
        <v>546</v>
      </c>
      <c r="C544" s="187"/>
      <c r="D544" s="188"/>
      <c r="E544" s="189">
        <v>2.23</v>
      </c>
      <c r="F544" s="187" t="s">
        <v>319</v>
      </c>
      <c r="G544" s="184">
        <f t="shared" si="8"/>
        <v>0</v>
      </c>
    </row>
    <row r="545" spans="1:7" x14ac:dyDescent="0.25">
      <c r="A545" s="187">
        <v>40340</v>
      </c>
      <c r="B545" s="187" t="s">
        <v>547</v>
      </c>
      <c r="C545" s="187"/>
      <c r="D545" s="188"/>
      <c r="E545" s="189">
        <v>4.43</v>
      </c>
      <c r="F545" s="187" t="s">
        <v>319</v>
      </c>
      <c r="G545" s="184">
        <f t="shared" si="8"/>
        <v>0</v>
      </c>
    </row>
    <row r="546" spans="1:7" x14ac:dyDescent="0.25">
      <c r="A546" s="187">
        <v>40350</v>
      </c>
      <c r="B546" s="187" t="s">
        <v>770</v>
      </c>
      <c r="C546" s="187"/>
      <c r="D546" s="188"/>
      <c r="E546" s="189">
        <v>4.54</v>
      </c>
      <c r="F546" s="187" t="s">
        <v>319</v>
      </c>
      <c r="G546" s="184">
        <f t="shared" si="8"/>
        <v>0</v>
      </c>
    </row>
    <row r="547" spans="1:7" x14ac:dyDescent="0.25">
      <c r="A547" s="187">
        <v>40360</v>
      </c>
      <c r="B547" s="187" t="s">
        <v>548</v>
      </c>
      <c r="C547" s="187"/>
      <c r="D547" s="188"/>
      <c r="E547" s="189">
        <v>21.2</v>
      </c>
      <c r="F547" s="187" t="s">
        <v>319</v>
      </c>
      <c r="G547" s="184">
        <f t="shared" si="8"/>
        <v>0</v>
      </c>
    </row>
    <row r="548" spans="1:7" x14ac:dyDescent="0.25">
      <c r="A548" s="187">
        <v>40370</v>
      </c>
      <c r="B548" s="187" t="s">
        <v>549</v>
      </c>
      <c r="C548" s="187"/>
      <c r="D548" s="188"/>
      <c r="E548" s="189">
        <v>4.2699999999999996</v>
      </c>
      <c r="F548" s="187" t="s">
        <v>319</v>
      </c>
      <c r="G548" s="184">
        <f t="shared" si="8"/>
        <v>0</v>
      </c>
    </row>
    <row r="549" spans="1:7" x14ac:dyDescent="0.25">
      <c r="A549" s="187">
        <v>40380</v>
      </c>
      <c r="B549" s="187" t="s">
        <v>550</v>
      </c>
      <c r="C549" s="187"/>
      <c r="D549" s="188"/>
      <c r="E549" s="189">
        <v>13.64</v>
      </c>
      <c r="F549" s="187" t="s">
        <v>319</v>
      </c>
      <c r="G549" s="184">
        <f t="shared" si="8"/>
        <v>0</v>
      </c>
    </row>
    <row r="550" spans="1:7" x14ac:dyDescent="0.25">
      <c r="A550" s="187">
        <v>40400</v>
      </c>
      <c r="B550" s="187" t="s">
        <v>551</v>
      </c>
      <c r="C550" s="187"/>
      <c r="D550" s="188"/>
      <c r="E550" s="189">
        <v>18.5</v>
      </c>
      <c r="F550" s="187" t="s">
        <v>319</v>
      </c>
      <c r="G550" s="184">
        <f t="shared" si="8"/>
        <v>0</v>
      </c>
    </row>
    <row r="551" spans="1:7" x14ac:dyDescent="0.25">
      <c r="A551" s="187">
        <v>40410</v>
      </c>
      <c r="B551" s="187" t="s">
        <v>771</v>
      </c>
      <c r="C551" s="187"/>
      <c r="D551" s="188"/>
      <c r="E551" s="189">
        <v>8.15</v>
      </c>
      <c r="F551" s="187" t="s">
        <v>319</v>
      </c>
      <c r="G551" s="184">
        <f t="shared" si="8"/>
        <v>0</v>
      </c>
    </row>
    <row r="552" spans="1:7" x14ac:dyDescent="0.25">
      <c r="A552" s="187">
        <v>40420</v>
      </c>
      <c r="B552" s="187" t="s">
        <v>772</v>
      </c>
      <c r="C552" s="187"/>
      <c r="D552" s="188"/>
      <c r="E552" s="189">
        <v>25.63</v>
      </c>
      <c r="F552" s="187" t="s">
        <v>319</v>
      </c>
      <c r="G552" s="184">
        <f t="shared" si="8"/>
        <v>0</v>
      </c>
    </row>
    <row r="553" spans="1:7" x14ac:dyDescent="0.25">
      <c r="A553" s="187">
        <v>40430</v>
      </c>
      <c r="B553" s="187" t="s">
        <v>773</v>
      </c>
      <c r="C553" s="187"/>
      <c r="D553" s="188"/>
      <c r="E553" s="189">
        <v>31.29</v>
      </c>
      <c r="F553" s="187" t="s">
        <v>319</v>
      </c>
      <c r="G553" s="184">
        <f t="shared" si="8"/>
        <v>0</v>
      </c>
    </row>
    <row r="554" spans="1:7" x14ac:dyDescent="0.25">
      <c r="A554" s="187">
        <v>40440</v>
      </c>
      <c r="B554" s="187" t="s">
        <v>552</v>
      </c>
      <c r="C554" s="187"/>
      <c r="D554" s="188"/>
      <c r="E554" s="189">
        <v>45.45</v>
      </c>
      <c r="F554" s="187" t="s">
        <v>319</v>
      </c>
      <c r="G554" s="184">
        <f t="shared" si="8"/>
        <v>0</v>
      </c>
    </row>
    <row r="555" spans="1:7" x14ac:dyDescent="0.25">
      <c r="A555" s="187">
        <v>40450</v>
      </c>
      <c r="B555" s="187" t="s">
        <v>553</v>
      </c>
      <c r="C555" s="187"/>
      <c r="D555" s="188"/>
      <c r="E555" s="189">
        <v>31.29</v>
      </c>
      <c r="F555" s="187" t="s">
        <v>319</v>
      </c>
      <c r="G555" s="184">
        <f t="shared" si="8"/>
        <v>0</v>
      </c>
    </row>
    <row r="556" spans="1:7" x14ac:dyDescent="0.25">
      <c r="A556" s="187">
        <v>40460</v>
      </c>
      <c r="B556" s="187" t="s">
        <v>554</v>
      </c>
      <c r="C556" s="187"/>
      <c r="D556" s="188"/>
      <c r="E556" s="189">
        <v>21.88</v>
      </c>
      <c r="F556" s="187" t="s">
        <v>319</v>
      </c>
      <c r="G556" s="184">
        <f t="shared" si="8"/>
        <v>0</v>
      </c>
    </row>
    <row r="557" spans="1:7" x14ac:dyDescent="0.25">
      <c r="A557" s="187">
        <v>40470</v>
      </c>
      <c r="B557" s="187" t="s">
        <v>774</v>
      </c>
      <c r="C557" s="187"/>
      <c r="D557" s="188"/>
      <c r="E557" s="205">
        <v>96</v>
      </c>
      <c r="F557" s="187" t="s">
        <v>319</v>
      </c>
      <c r="G557" s="184">
        <f t="shared" si="8"/>
        <v>0</v>
      </c>
    </row>
    <row r="558" spans="1:7" x14ac:dyDescent="0.25">
      <c r="A558" s="187">
        <v>40480</v>
      </c>
      <c r="B558" s="187" t="s">
        <v>555</v>
      </c>
      <c r="C558" s="187"/>
      <c r="D558" s="188"/>
      <c r="E558" s="189">
        <v>26.2</v>
      </c>
      <c r="F558" s="187" t="s">
        <v>319</v>
      </c>
      <c r="G558" s="184">
        <f t="shared" si="8"/>
        <v>0</v>
      </c>
    </row>
    <row r="559" spans="1:7" x14ac:dyDescent="0.25">
      <c r="A559" s="187">
        <v>40490</v>
      </c>
      <c r="B559" s="187" t="s">
        <v>556</v>
      </c>
      <c r="C559" s="187"/>
      <c r="D559" s="188"/>
      <c r="E559" s="189">
        <v>6.29</v>
      </c>
      <c r="F559" s="187" t="s">
        <v>319</v>
      </c>
      <c r="G559" s="184">
        <f t="shared" si="8"/>
        <v>0</v>
      </c>
    </row>
    <row r="560" spans="1:7" x14ac:dyDescent="0.25">
      <c r="A560" s="187">
        <v>40500</v>
      </c>
      <c r="B560" s="187" t="s">
        <v>775</v>
      </c>
      <c r="C560" s="187"/>
      <c r="D560" s="188"/>
      <c r="E560" s="189">
        <v>68.64</v>
      </c>
      <c r="F560" s="187" t="s">
        <v>319</v>
      </c>
      <c r="G560" s="184">
        <f t="shared" si="8"/>
        <v>0</v>
      </c>
    </row>
    <row r="561" spans="1:7" x14ac:dyDescent="0.25">
      <c r="A561" s="187">
        <v>40510</v>
      </c>
      <c r="B561" s="187" t="s">
        <v>557</v>
      </c>
      <c r="C561" s="187"/>
      <c r="D561" s="188"/>
      <c r="E561" s="189">
        <v>19.190000000000001</v>
      </c>
      <c r="F561" s="187" t="s">
        <v>319</v>
      </c>
      <c r="G561" s="184">
        <f t="shared" si="8"/>
        <v>0</v>
      </c>
    </row>
    <row r="562" spans="1:7" x14ac:dyDescent="0.25">
      <c r="A562" s="187">
        <v>40530</v>
      </c>
      <c r="B562" s="187" t="s">
        <v>776</v>
      </c>
      <c r="C562" s="187"/>
      <c r="D562" s="188"/>
      <c r="E562" s="189">
        <v>14.75</v>
      </c>
      <c r="F562" s="187" t="s">
        <v>319</v>
      </c>
      <c r="G562" s="184">
        <f t="shared" si="8"/>
        <v>0</v>
      </c>
    </row>
    <row r="563" spans="1:7" x14ac:dyDescent="0.25">
      <c r="A563" s="187">
        <v>40590</v>
      </c>
      <c r="B563" s="187" t="s">
        <v>560</v>
      </c>
      <c r="C563" s="187"/>
      <c r="D563" s="188"/>
      <c r="E563" s="189">
        <v>20.399999999999999</v>
      </c>
      <c r="F563" s="187" t="s">
        <v>319</v>
      </c>
      <c r="G563" s="184">
        <f t="shared" si="8"/>
        <v>0</v>
      </c>
    </row>
    <row r="564" spans="1:7" x14ac:dyDescent="0.25">
      <c r="A564" s="187">
        <v>40600</v>
      </c>
      <c r="B564" s="187" t="s">
        <v>777</v>
      </c>
      <c r="C564" s="187"/>
      <c r="D564" s="188"/>
      <c r="E564" s="189">
        <v>1.75</v>
      </c>
      <c r="F564" s="187" t="s">
        <v>319</v>
      </c>
      <c r="G564" s="184">
        <f t="shared" si="8"/>
        <v>0</v>
      </c>
    </row>
    <row r="565" spans="1:7" x14ac:dyDescent="0.25">
      <c r="A565" s="187">
        <v>40620</v>
      </c>
      <c r="B565" s="187" t="s">
        <v>778</v>
      </c>
      <c r="C565" s="187"/>
      <c r="D565" s="188"/>
      <c r="E565" s="189">
        <v>3.12</v>
      </c>
      <c r="F565" s="187" t="s">
        <v>319</v>
      </c>
      <c r="G565" s="184">
        <f t="shared" si="8"/>
        <v>0</v>
      </c>
    </row>
    <row r="566" spans="1:7" x14ac:dyDescent="0.25">
      <c r="A566" s="187">
        <v>40630</v>
      </c>
      <c r="B566" s="187" t="s">
        <v>779</v>
      </c>
      <c r="C566" s="187"/>
      <c r="D566" s="188"/>
      <c r="E566" s="189">
        <v>5.86</v>
      </c>
      <c r="F566" s="187" t="s">
        <v>319</v>
      </c>
      <c r="G566" s="184">
        <f t="shared" si="8"/>
        <v>0</v>
      </c>
    </row>
    <row r="567" spans="1:7" x14ac:dyDescent="0.25">
      <c r="A567" s="187">
        <v>40640</v>
      </c>
      <c r="B567" s="187" t="s">
        <v>780</v>
      </c>
      <c r="C567" s="187"/>
      <c r="D567" s="188"/>
      <c r="E567" s="189">
        <v>8.6170000000000009</v>
      </c>
      <c r="F567" s="187" t="s">
        <v>319</v>
      </c>
      <c r="G567" s="184">
        <f t="shared" si="8"/>
        <v>0</v>
      </c>
    </row>
    <row r="568" spans="1:7" x14ac:dyDescent="0.25">
      <c r="A568" s="187">
        <v>40650</v>
      </c>
      <c r="B568" s="187" t="s">
        <v>781</v>
      </c>
      <c r="C568" s="187"/>
      <c r="D568" s="188"/>
      <c r="E568" s="189">
        <v>9.27</v>
      </c>
      <c r="F568" s="187" t="s">
        <v>319</v>
      </c>
      <c r="G568" s="184">
        <f t="shared" si="8"/>
        <v>0</v>
      </c>
    </row>
    <row r="569" spans="1:7" x14ac:dyDescent="0.25">
      <c r="A569" s="187">
        <v>40660</v>
      </c>
      <c r="B569" s="187" t="s">
        <v>782</v>
      </c>
      <c r="C569" s="187"/>
      <c r="D569" s="188"/>
      <c r="E569" s="189">
        <v>9.5887499999999992</v>
      </c>
      <c r="F569" s="187" t="s">
        <v>319</v>
      </c>
      <c r="G569" s="184">
        <f t="shared" si="8"/>
        <v>0</v>
      </c>
    </row>
    <row r="570" spans="1:7" x14ac:dyDescent="0.25">
      <c r="A570" s="187">
        <v>40670</v>
      </c>
      <c r="B570" s="187" t="s">
        <v>783</v>
      </c>
      <c r="C570" s="187"/>
      <c r="D570" s="188"/>
      <c r="E570" s="189">
        <v>8.2366700000000002</v>
      </c>
      <c r="F570" s="187" t="s">
        <v>319</v>
      </c>
      <c r="G570" s="184">
        <f t="shared" si="8"/>
        <v>0</v>
      </c>
    </row>
    <row r="571" spans="1:7" x14ac:dyDescent="0.25">
      <c r="A571" s="187">
        <v>40690</v>
      </c>
      <c r="B571" s="187" t="s">
        <v>561</v>
      </c>
      <c r="C571" s="187"/>
      <c r="D571" s="188"/>
      <c r="E571" s="189">
        <v>9.1</v>
      </c>
      <c r="F571" s="187" t="s">
        <v>319</v>
      </c>
      <c r="G571" s="184">
        <f t="shared" si="8"/>
        <v>0</v>
      </c>
    </row>
    <row r="572" spans="1:7" x14ac:dyDescent="0.25">
      <c r="A572" s="187">
        <v>40700</v>
      </c>
      <c r="B572" s="187" t="s">
        <v>784</v>
      </c>
      <c r="C572" s="187"/>
      <c r="D572" s="188"/>
      <c r="E572" s="189">
        <v>13.83</v>
      </c>
      <c r="F572" s="187" t="s">
        <v>319</v>
      </c>
      <c r="G572" s="184">
        <f t="shared" si="8"/>
        <v>0</v>
      </c>
    </row>
    <row r="573" spans="1:7" x14ac:dyDescent="0.25">
      <c r="A573" s="187">
        <v>40710</v>
      </c>
      <c r="B573" s="187" t="s">
        <v>562</v>
      </c>
      <c r="C573" s="187"/>
      <c r="D573" s="188"/>
      <c r="E573" s="189">
        <v>17.96</v>
      </c>
      <c r="F573" s="187" t="s">
        <v>319</v>
      </c>
      <c r="G573" s="184">
        <f t="shared" si="8"/>
        <v>0</v>
      </c>
    </row>
    <row r="574" spans="1:7" x14ac:dyDescent="0.25">
      <c r="A574" s="187">
        <v>40750</v>
      </c>
      <c r="B574" s="187" t="s">
        <v>785</v>
      </c>
      <c r="C574" s="187"/>
      <c r="D574" s="188"/>
      <c r="E574" s="189">
        <v>22.82</v>
      </c>
      <c r="F574" s="187" t="s">
        <v>319</v>
      </c>
      <c r="G574" s="184">
        <f t="shared" si="8"/>
        <v>0</v>
      </c>
    </row>
    <row r="575" spans="1:7" x14ac:dyDescent="0.25">
      <c r="A575" s="187">
        <v>50000</v>
      </c>
      <c r="B575" s="187" t="s">
        <v>786</v>
      </c>
      <c r="C575" s="187"/>
      <c r="D575" s="188"/>
      <c r="E575" s="189">
        <v>150.22200000000001</v>
      </c>
      <c r="F575" s="187" t="s">
        <v>319</v>
      </c>
      <c r="G575" s="184">
        <f t="shared" si="8"/>
        <v>0</v>
      </c>
    </row>
    <row r="576" spans="1:7" x14ac:dyDescent="0.25">
      <c r="A576" s="187">
        <v>50005</v>
      </c>
      <c r="B576" s="187" t="s">
        <v>787</v>
      </c>
      <c r="C576" s="187"/>
      <c r="D576" s="188"/>
      <c r="E576" s="189">
        <v>0</v>
      </c>
      <c r="F576" s="187" t="s">
        <v>319</v>
      </c>
      <c r="G576" s="184">
        <f t="shared" si="8"/>
        <v>0</v>
      </c>
    </row>
    <row r="577" spans="1:7" x14ac:dyDescent="0.25">
      <c r="A577" s="187">
        <v>50010</v>
      </c>
      <c r="B577" s="187" t="s">
        <v>564</v>
      </c>
      <c r="C577" s="187"/>
      <c r="D577" s="188"/>
      <c r="E577" s="189">
        <v>0.62</v>
      </c>
      <c r="F577" s="187" t="s">
        <v>319</v>
      </c>
      <c r="G577" s="184">
        <f t="shared" si="8"/>
        <v>0</v>
      </c>
    </row>
    <row r="578" spans="1:7" x14ac:dyDescent="0.25">
      <c r="A578" s="187">
        <v>50020</v>
      </c>
      <c r="B578" s="187" t="s">
        <v>788</v>
      </c>
      <c r="C578" s="187"/>
      <c r="D578" s="188"/>
      <c r="E578" s="189">
        <v>11.45</v>
      </c>
      <c r="F578" s="187" t="s">
        <v>319</v>
      </c>
      <c r="G578" s="184">
        <f t="shared" si="8"/>
        <v>0</v>
      </c>
    </row>
    <row r="579" spans="1:7" x14ac:dyDescent="0.25">
      <c r="A579" s="187">
        <v>50030</v>
      </c>
      <c r="B579" s="187" t="s">
        <v>981</v>
      </c>
      <c r="C579" s="187"/>
      <c r="D579" s="188"/>
      <c r="E579" s="189">
        <v>2.0230000000000001</v>
      </c>
      <c r="F579" s="187" t="s">
        <v>319</v>
      </c>
      <c r="G579" s="184">
        <f t="shared" si="8"/>
        <v>0</v>
      </c>
    </row>
    <row r="580" spans="1:7" x14ac:dyDescent="0.25">
      <c r="A580" s="187">
        <v>50035</v>
      </c>
      <c r="B580" s="187" t="s">
        <v>982</v>
      </c>
      <c r="C580" s="187"/>
      <c r="D580" s="188"/>
      <c r="E580" s="189">
        <v>3.0339999999999998</v>
      </c>
      <c r="F580" s="187" t="s">
        <v>319</v>
      </c>
      <c r="G580" s="184">
        <f t="shared" si="8"/>
        <v>0</v>
      </c>
    </row>
    <row r="581" spans="1:7" x14ac:dyDescent="0.25">
      <c r="A581" s="187">
        <v>50040</v>
      </c>
      <c r="B581" s="187" t="s">
        <v>789</v>
      </c>
      <c r="C581" s="187"/>
      <c r="D581" s="188"/>
      <c r="E581" s="189">
        <v>2.3780000000000001</v>
      </c>
      <c r="F581" s="187" t="s">
        <v>319</v>
      </c>
      <c r="G581" s="184">
        <f t="shared" si="8"/>
        <v>0</v>
      </c>
    </row>
    <row r="582" spans="1:7" x14ac:dyDescent="0.25">
      <c r="A582" s="187">
        <v>20340</v>
      </c>
      <c r="B582" s="199" t="s">
        <v>670</v>
      </c>
      <c r="C582" s="199"/>
      <c r="D582" s="188"/>
      <c r="E582" s="189">
        <v>0.06</v>
      </c>
      <c r="F582" s="187" t="s">
        <v>319</v>
      </c>
      <c r="G582" s="184">
        <f t="shared" si="8"/>
        <v>0</v>
      </c>
    </row>
    <row r="583" spans="1:7" x14ac:dyDescent="0.25">
      <c r="A583" s="187">
        <v>20350</v>
      </c>
      <c r="B583" s="199" t="s">
        <v>671</v>
      </c>
      <c r="C583" s="199"/>
      <c r="D583" s="188"/>
      <c r="E583" s="188"/>
      <c r="F583" s="187" t="s">
        <v>319</v>
      </c>
      <c r="G583" s="184">
        <f t="shared" si="8"/>
        <v>0</v>
      </c>
    </row>
    <row r="584" spans="1:7" x14ac:dyDescent="0.25">
      <c r="A584" s="187">
        <v>20360</v>
      </c>
      <c r="B584" s="199" t="s">
        <v>672</v>
      </c>
      <c r="C584" s="199"/>
      <c r="D584" s="188"/>
      <c r="E584" s="189">
        <v>0.127</v>
      </c>
      <c r="F584" s="187" t="s">
        <v>319</v>
      </c>
      <c r="G584" s="184">
        <f t="shared" si="8"/>
        <v>0</v>
      </c>
    </row>
    <row r="585" spans="1:7" x14ac:dyDescent="0.25">
      <c r="A585" s="187"/>
      <c r="B585" s="187" t="s">
        <v>790</v>
      </c>
      <c r="C585" s="187"/>
      <c r="D585" s="188"/>
      <c r="E585" s="189">
        <v>0.44400000000000001</v>
      </c>
      <c r="F585" s="187" t="s">
        <v>319</v>
      </c>
      <c r="G585" s="184">
        <f t="shared" si="8"/>
        <v>0</v>
      </c>
    </row>
    <row r="586" spans="1:7" x14ac:dyDescent="0.25">
      <c r="A586" s="188"/>
      <c r="B586" s="187" t="s">
        <v>607</v>
      </c>
      <c r="C586" s="187"/>
      <c r="D586" s="188"/>
      <c r="E586" s="189">
        <v>51.47</v>
      </c>
      <c r="F586" s="187" t="s">
        <v>319</v>
      </c>
      <c r="G586" s="184">
        <f t="shared" si="8"/>
        <v>0</v>
      </c>
    </row>
    <row r="587" spans="1:7" x14ac:dyDescent="0.25">
      <c r="A587" s="187">
        <v>50060</v>
      </c>
      <c r="B587" s="187" t="s">
        <v>791</v>
      </c>
      <c r="C587" s="187"/>
      <c r="D587" s="188"/>
      <c r="E587" s="189">
        <v>9.07</v>
      </c>
      <c r="F587" s="187" t="s">
        <v>319</v>
      </c>
      <c r="G587" s="184">
        <f t="shared" si="8"/>
        <v>0</v>
      </c>
    </row>
    <row r="588" spans="1:7" x14ac:dyDescent="0.25">
      <c r="A588" s="187">
        <v>50070</v>
      </c>
      <c r="B588" s="187" t="s">
        <v>792</v>
      </c>
      <c r="C588" s="187"/>
      <c r="D588" s="188"/>
      <c r="E588" s="188"/>
      <c r="F588" s="187" t="s">
        <v>319</v>
      </c>
      <c r="G588" s="184">
        <f t="shared" ref="G588:G651" si="9">D588*E588</f>
        <v>0</v>
      </c>
    </row>
    <row r="589" spans="1:7" x14ac:dyDescent="0.25">
      <c r="A589" s="187">
        <v>50090</v>
      </c>
      <c r="B589" s="187" t="s">
        <v>794</v>
      </c>
      <c r="C589" s="187"/>
      <c r="D589" s="187"/>
      <c r="E589" s="189">
        <v>20.95</v>
      </c>
      <c r="F589" s="187" t="s">
        <v>319</v>
      </c>
      <c r="G589" s="184">
        <f t="shared" si="9"/>
        <v>0</v>
      </c>
    </row>
    <row r="590" spans="1:7" x14ac:dyDescent="0.25">
      <c r="A590" s="187">
        <v>50100</v>
      </c>
      <c r="B590" s="187" t="s">
        <v>795</v>
      </c>
      <c r="C590" s="187"/>
      <c r="D590" s="187"/>
      <c r="E590" s="189">
        <v>50.761600000000001</v>
      </c>
      <c r="F590" s="187" t="s">
        <v>319</v>
      </c>
      <c r="G590" s="184">
        <f t="shared" si="9"/>
        <v>0</v>
      </c>
    </row>
    <row r="591" spans="1:7" x14ac:dyDescent="0.25">
      <c r="A591" s="187">
        <v>50115</v>
      </c>
      <c r="B591" s="187" t="s">
        <v>983</v>
      </c>
      <c r="C591" s="187"/>
      <c r="D591" s="187"/>
      <c r="E591" s="189">
        <v>53.51</v>
      </c>
      <c r="F591" s="187" t="s">
        <v>319</v>
      </c>
      <c r="G591" s="184">
        <f t="shared" si="9"/>
        <v>0</v>
      </c>
    </row>
    <row r="592" spans="1:7" x14ac:dyDescent="0.25">
      <c r="A592" s="187">
        <v>50120</v>
      </c>
      <c r="B592" s="187" t="s">
        <v>565</v>
      </c>
      <c r="C592" s="187"/>
      <c r="D592" s="187"/>
      <c r="E592" s="189">
        <v>203.38200000000001</v>
      </c>
      <c r="F592" s="187" t="s">
        <v>319</v>
      </c>
      <c r="G592" s="184">
        <f t="shared" si="9"/>
        <v>0</v>
      </c>
    </row>
    <row r="593" spans="1:7" x14ac:dyDescent="0.25">
      <c r="A593" s="187">
        <v>50130</v>
      </c>
      <c r="B593" s="187" t="s">
        <v>566</v>
      </c>
      <c r="C593" s="187"/>
      <c r="D593" s="187"/>
      <c r="E593" s="189">
        <v>125.15</v>
      </c>
      <c r="F593" s="187" t="s">
        <v>319</v>
      </c>
      <c r="G593" s="184">
        <f t="shared" si="9"/>
        <v>0</v>
      </c>
    </row>
    <row r="594" spans="1:7" x14ac:dyDescent="0.25">
      <c r="A594" s="187">
        <v>50140</v>
      </c>
      <c r="B594" s="187" t="s">
        <v>567</v>
      </c>
      <c r="C594" s="187"/>
      <c r="D594" s="187"/>
      <c r="E594" s="189">
        <v>7.4470000000000001</v>
      </c>
      <c r="F594" s="187" t="s">
        <v>319</v>
      </c>
      <c r="G594" s="184">
        <f t="shared" si="9"/>
        <v>0</v>
      </c>
    </row>
    <row r="595" spans="1:7" x14ac:dyDescent="0.25">
      <c r="A595" s="187">
        <v>50150</v>
      </c>
      <c r="B595" s="187" t="s">
        <v>568</v>
      </c>
      <c r="C595" s="187"/>
      <c r="D595" s="187"/>
      <c r="E595" s="189">
        <v>52.72</v>
      </c>
      <c r="F595" s="187" t="s">
        <v>319</v>
      </c>
      <c r="G595" s="184">
        <f t="shared" si="9"/>
        <v>0</v>
      </c>
    </row>
    <row r="596" spans="1:7" x14ac:dyDescent="0.25">
      <c r="A596" s="187">
        <v>50160</v>
      </c>
      <c r="B596" s="187" t="s">
        <v>569</v>
      </c>
      <c r="C596" s="187"/>
      <c r="D596" s="187"/>
      <c r="E596" s="188"/>
      <c r="F596" s="187" t="s">
        <v>319</v>
      </c>
      <c r="G596" s="184">
        <f t="shared" si="9"/>
        <v>0</v>
      </c>
    </row>
    <row r="597" spans="1:7" x14ac:dyDescent="0.25">
      <c r="A597" s="187">
        <v>50170</v>
      </c>
      <c r="B597" s="187" t="s">
        <v>570</v>
      </c>
      <c r="C597" s="187"/>
      <c r="D597" s="187"/>
      <c r="E597" s="188"/>
      <c r="F597" s="187" t="s">
        <v>319</v>
      </c>
      <c r="G597" s="184">
        <f t="shared" si="9"/>
        <v>0</v>
      </c>
    </row>
    <row r="598" spans="1:7" x14ac:dyDescent="0.25">
      <c r="A598" s="187">
        <v>50175</v>
      </c>
      <c r="B598" s="187" t="s">
        <v>797</v>
      </c>
      <c r="C598" s="187"/>
      <c r="D598" s="187"/>
      <c r="E598" s="189">
        <v>1.4890000000000001</v>
      </c>
      <c r="F598" s="187" t="s">
        <v>319</v>
      </c>
      <c r="G598" s="184">
        <f t="shared" si="9"/>
        <v>0</v>
      </c>
    </row>
    <row r="599" spans="1:7" x14ac:dyDescent="0.25">
      <c r="A599" s="187">
        <v>50180</v>
      </c>
      <c r="B599" s="187" t="s">
        <v>798</v>
      </c>
      <c r="C599" s="187"/>
      <c r="D599" s="187"/>
      <c r="E599" s="189">
        <v>359.63</v>
      </c>
      <c r="F599" s="187" t="s">
        <v>319</v>
      </c>
      <c r="G599" s="184">
        <f t="shared" si="9"/>
        <v>0</v>
      </c>
    </row>
    <row r="600" spans="1:7" x14ac:dyDescent="0.25">
      <c r="A600" s="187">
        <v>50190</v>
      </c>
      <c r="B600" s="187" t="s">
        <v>799</v>
      </c>
      <c r="C600" s="187"/>
      <c r="D600" s="187"/>
      <c r="E600" s="189">
        <v>0</v>
      </c>
      <c r="F600" s="187" t="s">
        <v>319</v>
      </c>
      <c r="G600" s="184">
        <f t="shared" si="9"/>
        <v>0</v>
      </c>
    </row>
    <row r="601" spans="1:7" x14ac:dyDescent="0.25">
      <c r="A601" s="187">
        <v>50200</v>
      </c>
      <c r="B601" s="187" t="s">
        <v>800</v>
      </c>
      <c r="C601" s="187"/>
      <c r="D601" s="187"/>
      <c r="E601" s="189">
        <v>0</v>
      </c>
      <c r="F601" s="187" t="s">
        <v>319</v>
      </c>
      <c r="G601" s="184">
        <f t="shared" si="9"/>
        <v>0</v>
      </c>
    </row>
    <row r="602" spans="1:7" x14ac:dyDescent="0.25">
      <c r="A602" s="187">
        <v>50210</v>
      </c>
      <c r="B602" s="187" t="s">
        <v>801</v>
      </c>
      <c r="C602" s="187"/>
      <c r="D602" s="187"/>
      <c r="E602" s="189">
        <v>0</v>
      </c>
      <c r="F602" s="187" t="s">
        <v>319</v>
      </c>
      <c r="G602" s="184">
        <f t="shared" si="9"/>
        <v>0</v>
      </c>
    </row>
    <row r="603" spans="1:7" x14ac:dyDescent="0.25">
      <c r="A603" s="187">
        <v>50220</v>
      </c>
      <c r="B603" s="187" t="s">
        <v>802</v>
      </c>
      <c r="C603" s="187"/>
      <c r="D603" s="187"/>
      <c r="E603" s="189">
        <v>0</v>
      </c>
      <c r="F603" s="187" t="s">
        <v>319</v>
      </c>
      <c r="G603" s="184">
        <f t="shared" si="9"/>
        <v>0</v>
      </c>
    </row>
    <row r="604" spans="1:7" x14ac:dyDescent="0.25">
      <c r="A604" s="187">
        <v>50230</v>
      </c>
      <c r="B604" s="187" t="s">
        <v>803</v>
      </c>
      <c r="C604" s="187"/>
      <c r="D604" s="187"/>
      <c r="E604" s="189">
        <v>140.61099999999999</v>
      </c>
      <c r="F604" s="187" t="s">
        <v>319</v>
      </c>
      <c r="G604" s="184">
        <f t="shared" si="9"/>
        <v>0</v>
      </c>
    </row>
    <row r="605" spans="1:7" x14ac:dyDescent="0.25">
      <c r="A605" s="187">
        <v>50240</v>
      </c>
      <c r="B605" s="187" t="s">
        <v>804</v>
      </c>
      <c r="C605" s="187"/>
      <c r="D605" s="187"/>
      <c r="E605" s="189">
        <v>203.57</v>
      </c>
      <c r="F605" s="187" t="s">
        <v>319</v>
      </c>
      <c r="G605" s="184">
        <f t="shared" si="9"/>
        <v>0</v>
      </c>
    </row>
    <row r="606" spans="1:7" x14ac:dyDescent="0.25">
      <c r="A606" s="187">
        <v>50250</v>
      </c>
      <c r="B606" s="187" t="s">
        <v>805</v>
      </c>
      <c r="C606" s="187"/>
      <c r="D606" s="187"/>
      <c r="E606" s="189">
        <v>24.87</v>
      </c>
      <c r="F606" s="187" t="s">
        <v>319</v>
      </c>
      <c r="G606" s="184">
        <f t="shared" si="9"/>
        <v>0</v>
      </c>
    </row>
    <row r="607" spans="1:7" x14ac:dyDescent="0.25">
      <c r="A607" s="187">
        <v>70000</v>
      </c>
      <c r="B607" s="187" t="s">
        <v>571</v>
      </c>
      <c r="C607" s="187"/>
      <c r="D607" s="187"/>
      <c r="E607" s="189">
        <v>5.7670000000000003</v>
      </c>
      <c r="F607" s="187" t="s">
        <v>319</v>
      </c>
      <c r="G607" s="184">
        <f t="shared" si="9"/>
        <v>0</v>
      </c>
    </row>
    <row r="608" spans="1:7" x14ac:dyDescent="0.25">
      <c r="A608" s="187">
        <v>70010</v>
      </c>
      <c r="B608" s="187" t="s">
        <v>806</v>
      </c>
      <c r="C608" s="187"/>
      <c r="D608" s="187"/>
      <c r="E608" s="189">
        <v>0.123</v>
      </c>
      <c r="F608" s="187" t="s">
        <v>319</v>
      </c>
      <c r="G608" s="184">
        <f t="shared" si="9"/>
        <v>0</v>
      </c>
    </row>
    <row r="609" spans="1:7" x14ac:dyDescent="0.25">
      <c r="A609" s="187">
        <v>70015</v>
      </c>
      <c r="B609" s="187" t="s">
        <v>984</v>
      </c>
      <c r="C609" s="187"/>
      <c r="D609" s="187"/>
      <c r="E609" s="189">
        <v>10.646000000000001</v>
      </c>
      <c r="F609" s="187" t="s">
        <v>319</v>
      </c>
      <c r="G609" s="184">
        <f t="shared" si="9"/>
        <v>0</v>
      </c>
    </row>
    <row r="610" spans="1:7" x14ac:dyDescent="0.25">
      <c r="A610" s="187">
        <v>70020</v>
      </c>
      <c r="B610" s="187" t="s">
        <v>985</v>
      </c>
      <c r="C610" s="187"/>
      <c r="D610" s="187"/>
      <c r="E610" s="189">
        <v>7.9630000000000001</v>
      </c>
      <c r="F610" s="187" t="s">
        <v>319</v>
      </c>
      <c r="G610" s="184">
        <f t="shared" si="9"/>
        <v>0</v>
      </c>
    </row>
    <row r="611" spans="1:7" x14ac:dyDescent="0.25">
      <c r="A611" s="187">
        <v>70022</v>
      </c>
      <c r="B611" s="187" t="s">
        <v>986</v>
      </c>
      <c r="C611" s="187"/>
      <c r="D611" s="187"/>
      <c r="E611" s="189">
        <v>10.115</v>
      </c>
      <c r="F611" s="187" t="s">
        <v>319</v>
      </c>
      <c r="G611" s="184">
        <f t="shared" si="9"/>
        <v>0</v>
      </c>
    </row>
    <row r="612" spans="1:7" x14ac:dyDescent="0.25">
      <c r="A612" s="187">
        <v>70025</v>
      </c>
      <c r="B612" s="187" t="s">
        <v>987</v>
      </c>
      <c r="C612" s="187"/>
      <c r="D612" s="187"/>
      <c r="E612" s="189">
        <v>20.969000000000001</v>
      </c>
      <c r="F612" s="187" t="s">
        <v>319</v>
      </c>
      <c r="G612" s="184">
        <f t="shared" si="9"/>
        <v>0</v>
      </c>
    </row>
    <row r="613" spans="1:7" x14ac:dyDescent="0.25">
      <c r="A613" s="187">
        <v>70030</v>
      </c>
      <c r="B613" s="187" t="s">
        <v>988</v>
      </c>
      <c r="C613" s="187"/>
      <c r="D613" s="187"/>
      <c r="E613" s="189">
        <v>28.5</v>
      </c>
      <c r="F613" s="187" t="s">
        <v>319</v>
      </c>
      <c r="G613" s="184">
        <f t="shared" si="9"/>
        <v>0</v>
      </c>
    </row>
    <row r="614" spans="1:7" x14ac:dyDescent="0.25">
      <c r="A614" s="187">
        <v>70040</v>
      </c>
      <c r="B614" s="187" t="s">
        <v>572</v>
      </c>
      <c r="C614" s="187"/>
      <c r="D614" s="187"/>
      <c r="E614" s="189">
        <v>4.3780000000000001</v>
      </c>
      <c r="F614" s="187" t="s">
        <v>319</v>
      </c>
      <c r="G614" s="184">
        <f t="shared" si="9"/>
        <v>0</v>
      </c>
    </row>
    <row r="615" spans="1:7" x14ac:dyDescent="0.25">
      <c r="A615" s="187">
        <v>70050</v>
      </c>
      <c r="B615" s="187" t="s">
        <v>573</v>
      </c>
      <c r="C615" s="187"/>
      <c r="D615" s="187"/>
      <c r="E615" s="189">
        <v>0.98</v>
      </c>
      <c r="F615" s="187" t="s">
        <v>319</v>
      </c>
      <c r="G615" s="184">
        <f t="shared" si="9"/>
        <v>0</v>
      </c>
    </row>
    <row r="616" spans="1:7" x14ac:dyDescent="0.25">
      <c r="A616" s="187">
        <v>70060</v>
      </c>
      <c r="B616" s="187" t="s">
        <v>574</v>
      </c>
      <c r="C616" s="187"/>
      <c r="D616" s="187"/>
      <c r="E616" s="189">
        <v>54</v>
      </c>
      <c r="F616" s="187" t="s">
        <v>319</v>
      </c>
      <c r="G616" s="184">
        <f t="shared" si="9"/>
        <v>0</v>
      </c>
    </row>
    <row r="617" spans="1:7" x14ac:dyDescent="0.25">
      <c r="A617" s="187">
        <v>70065</v>
      </c>
      <c r="B617" s="187" t="s">
        <v>989</v>
      </c>
      <c r="C617" s="187"/>
      <c r="D617" s="187"/>
      <c r="E617" s="189">
        <v>6.516</v>
      </c>
      <c r="F617" s="187" t="s">
        <v>319</v>
      </c>
      <c r="G617" s="184">
        <f t="shared" si="9"/>
        <v>0</v>
      </c>
    </row>
    <row r="618" spans="1:7" x14ac:dyDescent="0.25">
      <c r="A618" s="187">
        <v>70070</v>
      </c>
      <c r="B618" s="187" t="s">
        <v>575</v>
      </c>
      <c r="C618" s="187"/>
      <c r="D618" s="187"/>
      <c r="E618" s="189">
        <v>2.1789999999999998</v>
      </c>
      <c r="F618" s="187" t="s">
        <v>319</v>
      </c>
      <c r="G618" s="184">
        <f t="shared" si="9"/>
        <v>0</v>
      </c>
    </row>
    <row r="619" spans="1:7" x14ac:dyDescent="0.25">
      <c r="A619" s="187">
        <v>70080</v>
      </c>
      <c r="B619" s="187" t="s">
        <v>807</v>
      </c>
      <c r="C619" s="187"/>
      <c r="D619" s="187"/>
      <c r="E619" s="189">
        <v>2.9430000000000001</v>
      </c>
      <c r="F619" s="187" t="s">
        <v>319</v>
      </c>
      <c r="G619" s="184">
        <f t="shared" si="9"/>
        <v>0</v>
      </c>
    </row>
    <row r="620" spans="1:7" x14ac:dyDescent="0.25">
      <c r="A620" s="187">
        <v>70090</v>
      </c>
      <c r="B620" s="187" t="s">
        <v>808</v>
      </c>
      <c r="C620" s="187"/>
      <c r="D620" s="187"/>
      <c r="E620" s="189">
        <v>1.7829999999999999</v>
      </c>
      <c r="F620" s="187" t="s">
        <v>319</v>
      </c>
      <c r="G620" s="184">
        <f t="shared" si="9"/>
        <v>0</v>
      </c>
    </row>
    <row r="621" spans="1:7" x14ac:dyDescent="0.25">
      <c r="A621" s="187">
        <v>70100</v>
      </c>
      <c r="B621" s="187" t="s">
        <v>576</v>
      </c>
      <c r="C621" s="187"/>
      <c r="D621" s="187"/>
      <c r="E621" s="189">
        <v>1.788</v>
      </c>
      <c r="F621" s="187" t="s">
        <v>319</v>
      </c>
      <c r="G621" s="184">
        <f t="shared" si="9"/>
        <v>0</v>
      </c>
    </row>
    <row r="622" spans="1:7" x14ac:dyDescent="0.25">
      <c r="A622" s="187">
        <v>70110</v>
      </c>
      <c r="B622" s="187" t="s">
        <v>809</v>
      </c>
      <c r="C622" s="187"/>
      <c r="D622" s="187"/>
      <c r="E622" s="189">
        <v>1.49</v>
      </c>
      <c r="F622" s="187" t="s">
        <v>319</v>
      </c>
      <c r="G622" s="184">
        <f t="shared" si="9"/>
        <v>0</v>
      </c>
    </row>
    <row r="623" spans="1:7" x14ac:dyDescent="0.25">
      <c r="A623" s="187">
        <v>70120</v>
      </c>
      <c r="B623" s="187" t="s">
        <v>577</v>
      </c>
      <c r="C623" s="187"/>
      <c r="D623" s="187"/>
      <c r="E623" s="189">
        <v>1.77</v>
      </c>
      <c r="F623" s="187" t="s">
        <v>319</v>
      </c>
      <c r="G623" s="184">
        <f t="shared" si="9"/>
        <v>0</v>
      </c>
    </row>
    <row r="624" spans="1:7" x14ac:dyDescent="0.25">
      <c r="A624" s="187">
        <v>70130</v>
      </c>
      <c r="B624" s="187" t="s">
        <v>990</v>
      </c>
      <c r="C624" s="187"/>
      <c r="D624" s="187"/>
      <c r="E624" s="189">
        <v>2.5659999999999998</v>
      </c>
      <c r="F624" s="187" t="s">
        <v>319</v>
      </c>
      <c r="G624" s="184">
        <f t="shared" si="9"/>
        <v>0</v>
      </c>
    </row>
    <row r="625" spans="1:9" x14ac:dyDescent="0.25">
      <c r="A625" s="187">
        <v>70140</v>
      </c>
      <c r="B625" s="187" t="s">
        <v>810</v>
      </c>
      <c r="C625" s="187"/>
      <c r="D625" s="187"/>
      <c r="E625" s="189">
        <v>2.786</v>
      </c>
      <c r="F625" s="187" t="s">
        <v>319</v>
      </c>
      <c r="G625" s="184">
        <f t="shared" si="9"/>
        <v>0</v>
      </c>
    </row>
    <row r="626" spans="1:9" x14ac:dyDescent="0.25">
      <c r="A626" s="187">
        <v>70144</v>
      </c>
      <c r="B626" s="187" t="s">
        <v>811</v>
      </c>
      <c r="C626" s="187"/>
      <c r="D626" s="187"/>
      <c r="E626" s="189">
        <v>4.9939999999999998</v>
      </c>
      <c r="F626" s="187" t="s">
        <v>319</v>
      </c>
      <c r="G626" s="184">
        <f t="shared" si="9"/>
        <v>0</v>
      </c>
    </row>
    <row r="627" spans="1:9" x14ac:dyDescent="0.25">
      <c r="A627" s="187">
        <v>70150</v>
      </c>
      <c r="B627" s="187" t="s">
        <v>578</v>
      </c>
      <c r="C627" s="187"/>
      <c r="D627" s="187"/>
      <c r="E627" s="189">
        <v>7.13</v>
      </c>
      <c r="F627" s="187" t="s">
        <v>319</v>
      </c>
      <c r="G627" s="184">
        <f t="shared" si="9"/>
        <v>0</v>
      </c>
      <c r="I627" s="177"/>
    </row>
    <row r="628" spans="1:9" x14ac:dyDescent="0.25">
      <c r="A628" s="187">
        <v>70160</v>
      </c>
      <c r="B628" s="187" t="s">
        <v>991</v>
      </c>
      <c r="C628" s="187"/>
      <c r="D628" s="187"/>
      <c r="E628" s="189">
        <v>1.9650000000000001</v>
      </c>
      <c r="F628" s="187" t="s">
        <v>319</v>
      </c>
      <c r="G628" s="184">
        <f t="shared" si="9"/>
        <v>0</v>
      </c>
      <c r="I628" s="177"/>
    </row>
    <row r="629" spans="1:9" x14ac:dyDescent="0.25">
      <c r="A629" s="187">
        <v>70170</v>
      </c>
      <c r="B629" s="187" t="s">
        <v>579</v>
      </c>
      <c r="C629" s="187"/>
      <c r="D629" s="187"/>
      <c r="E629" s="189">
        <v>2.847</v>
      </c>
      <c r="F629" s="187" t="s">
        <v>319</v>
      </c>
      <c r="G629" s="184">
        <f t="shared" si="9"/>
        <v>0</v>
      </c>
      <c r="H629" s="210"/>
      <c r="I629" s="177"/>
    </row>
    <row r="630" spans="1:9" x14ac:dyDescent="0.25">
      <c r="A630" s="187">
        <v>70180</v>
      </c>
      <c r="B630" s="187" t="s">
        <v>580</v>
      </c>
      <c r="C630" s="187"/>
      <c r="D630" s="187"/>
      <c r="E630" s="189">
        <v>3.4350000000000001</v>
      </c>
      <c r="F630" s="187" t="s">
        <v>319</v>
      </c>
      <c r="G630" s="184">
        <f t="shared" si="9"/>
        <v>0</v>
      </c>
      <c r="H630" s="210"/>
      <c r="I630" s="177"/>
    </row>
    <row r="631" spans="1:9" x14ac:dyDescent="0.25">
      <c r="A631" s="187">
        <v>70190</v>
      </c>
      <c r="B631" s="187" t="s">
        <v>812</v>
      </c>
      <c r="C631" s="187"/>
      <c r="D631" s="187"/>
      <c r="E631" s="187">
        <v>9.6240000000000006</v>
      </c>
      <c r="F631" s="187" t="s">
        <v>319</v>
      </c>
      <c r="G631" s="184">
        <f t="shared" si="9"/>
        <v>0</v>
      </c>
      <c r="H631" s="210"/>
      <c r="I631" s="177"/>
    </row>
    <row r="632" spans="1:9" x14ac:dyDescent="0.25">
      <c r="A632" s="187">
        <v>70200</v>
      </c>
      <c r="B632" s="187" t="s">
        <v>581</v>
      </c>
      <c r="C632" s="187"/>
      <c r="D632" s="187"/>
      <c r="E632" s="187">
        <v>16</v>
      </c>
      <c r="F632" s="187" t="s">
        <v>319</v>
      </c>
      <c r="G632" s="184">
        <f t="shared" si="9"/>
        <v>0</v>
      </c>
      <c r="H632" s="210"/>
      <c r="I632" s="177"/>
    </row>
    <row r="633" spans="1:9" x14ac:dyDescent="0.25">
      <c r="A633" s="187">
        <v>70205</v>
      </c>
      <c r="B633" s="187" t="s">
        <v>813</v>
      </c>
      <c r="C633" s="187"/>
      <c r="D633" s="187"/>
      <c r="E633" s="187">
        <v>45.036000000000001</v>
      </c>
      <c r="F633" s="187" t="s">
        <v>319</v>
      </c>
      <c r="G633" s="184">
        <f t="shared" si="9"/>
        <v>0</v>
      </c>
      <c r="H633" s="210"/>
      <c r="I633" s="177"/>
    </row>
    <row r="634" spans="1:9" x14ac:dyDescent="0.25">
      <c r="A634" s="187">
        <v>70210</v>
      </c>
      <c r="B634" s="187" t="s">
        <v>992</v>
      </c>
      <c r="C634" s="187"/>
      <c r="D634" s="187"/>
      <c r="E634" s="187">
        <v>121.86</v>
      </c>
      <c r="F634" s="187" t="s">
        <v>319</v>
      </c>
      <c r="G634" s="184">
        <f t="shared" si="9"/>
        <v>0</v>
      </c>
      <c r="H634" s="210"/>
      <c r="I634" s="177"/>
    </row>
    <row r="635" spans="1:9" x14ac:dyDescent="0.25">
      <c r="A635" s="187">
        <v>70220</v>
      </c>
      <c r="B635" s="187" t="s">
        <v>814</v>
      </c>
      <c r="C635" s="187"/>
      <c r="D635" s="187"/>
      <c r="E635" s="187">
        <v>243.726</v>
      </c>
      <c r="F635" s="187" t="s">
        <v>319</v>
      </c>
      <c r="G635" s="184">
        <f t="shared" si="9"/>
        <v>0</v>
      </c>
      <c r="H635" s="210"/>
      <c r="I635" s="177"/>
    </row>
    <row r="636" spans="1:9" x14ac:dyDescent="0.25">
      <c r="A636" s="187">
        <v>70230</v>
      </c>
      <c r="B636" s="187" t="s">
        <v>993</v>
      </c>
      <c r="C636" s="187"/>
      <c r="D636" s="187"/>
      <c r="E636" s="187">
        <v>608.92499999999995</v>
      </c>
      <c r="F636" s="187" t="s">
        <v>319</v>
      </c>
      <c r="G636" s="184">
        <f t="shared" si="9"/>
        <v>0</v>
      </c>
      <c r="H636" s="210"/>
    </row>
    <row r="637" spans="1:9" x14ac:dyDescent="0.25">
      <c r="A637" s="187">
        <v>70240</v>
      </c>
      <c r="B637" s="187" t="s">
        <v>815</v>
      </c>
      <c r="C637" s="187"/>
      <c r="D637" s="187"/>
      <c r="E637" s="187">
        <v>159.04</v>
      </c>
      <c r="F637" s="187" t="s">
        <v>319</v>
      </c>
      <c r="G637" s="184">
        <f t="shared" si="9"/>
        <v>0</v>
      </c>
      <c r="H637" s="210"/>
    </row>
    <row r="638" spans="1:9" x14ac:dyDescent="0.25">
      <c r="A638" s="187">
        <v>70250</v>
      </c>
      <c r="B638" s="187" t="s">
        <v>994</v>
      </c>
      <c r="C638" s="187"/>
      <c r="D638" s="187"/>
      <c r="E638" s="187">
        <v>318.10599999999999</v>
      </c>
      <c r="F638" s="187" t="s">
        <v>319</v>
      </c>
      <c r="G638" s="184">
        <f t="shared" si="9"/>
        <v>0</v>
      </c>
      <c r="I638" s="177"/>
    </row>
    <row r="639" spans="1:9" x14ac:dyDescent="0.25">
      <c r="A639" s="187">
        <v>70260</v>
      </c>
      <c r="B639" s="187" t="s">
        <v>995</v>
      </c>
      <c r="C639" s="187"/>
      <c r="D639" s="187"/>
      <c r="E639" s="187">
        <v>794.75699999999995</v>
      </c>
      <c r="F639" s="187" t="s">
        <v>319</v>
      </c>
      <c r="G639" s="184">
        <f t="shared" si="9"/>
        <v>0</v>
      </c>
      <c r="I639" s="177"/>
    </row>
    <row r="640" spans="1:9" x14ac:dyDescent="0.25">
      <c r="A640" s="187">
        <v>70700</v>
      </c>
      <c r="B640" s="204" t="s">
        <v>1013</v>
      </c>
      <c r="C640" s="204"/>
      <c r="D640" s="204"/>
      <c r="E640" s="187">
        <v>437.67</v>
      </c>
      <c r="F640" s="187" t="s">
        <v>319</v>
      </c>
      <c r="G640" s="184">
        <f t="shared" si="9"/>
        <v>0</v>
      </c>
      <c r="H640" s="210"/>
      <c r="I640" s="177"/>
    </row>
    <row r="641" spans="1:9" x14ac:dyDescent="0.25">
      <c r="A641" s="187">
        <v>70705</v>
      </c>
      <c r="B641" s="204" t="s">
        <v>1014</v>
      </c>
      <c r="C641" s="204"/>
      <c r="D641" s="204"/>
      <c r="E641" s="187">
        <v>875.35</v>
      </c>
      <c r="F641" s="187" t="s">
        <v>319</v>
      </c>
      <c r="G641" s="184">
        <f t="shared" si="9"/>
        <v>0</v>
      </c>
      <c r="H641" s="210"/>
      <c r="I641" s="177"/>
    </row>
    <row r="642" spans="1:9" x14ac:dyDescent="0.25">
      <c r="A642" s="187">
        <v>70270</v>
      </c>
      <c r="B642" s="187" t="s">
        <v>582</v>
      </c>
      <c r="C642" s="187"/>
      <c r="D642" s="187"/>
      <c r="E642" s="187">
        <v>10.08</v>
      </c>
      <c r="F642" s="187" t="s">
        <v>319</v>
      </c>
      <c r="G642" s="184">
        <f t="shared" si="9"/>
        <v>0</v>
      </c>
      <c r="H642" s="210"/>
      <c r="I642" s="177"/>
    </row>
    <row r="643" spans="1:9" x14ac:dyDescent="0.25">
      <c r="A643" s="187">
        <v>70280</v>
      </c>
      <c r="B643" s="187" t="s">
        <v>583</v>
      </c>
      <c r="C643" s="187"/>
      <c r="D643" s="187"/>
      <c r="E643" s="187">
        <v>13.74</v>
      </c>
      <c r="F643" s="187" t="s">
        <v>319</v>
      </c>
      <c r="G643" s="184">
        <f t="shared" si="9"/>
        <v>0</v>
      </c>
      <c r="H643" s="210"/>
      <c r="I643" s="177"/>
    </row>
    <row r="644" spans="1:9" x14ac:dyDescent="0.25">
      <c r="A644" s="187">
        <v>70290</v>
      </c>
      <c r="B644" s="187" t="s">
        <v>996</v>
      </c>
      <c r="C644" s="187"/>
      <c r="D644" s="187"/>
      <c r="E644" s="188"/>
      <c r="F644" s="187" t="s">
        <v>319</v>
      </c>
      <c r="G644" s="184">
        <f t="shared" si="9"/>
        <v>0</v>
      </c>
      <c r="H644" s="210"/>
      <c r="I644" s="177"/>
    </row>
    <row r="645" spans="1:9" x14ac:dyDescent="0.25">
      <c r="A645" s="187">
        <v>70300</v>
      </c>
      <c r="B645" s="187" t="s">
        <v>997</v>
      </c>
      <c r="C645" s="187"/>
      <c r="D645" s="187"/>
      <c r="E645" s="188"/>
      <c r="F645" s="187" t="s">
        <v>319</v>
      </c>
      <c r="G645" s="184">
        <f t="shared" si="9"/>
        <v>0</v>
      </c>
      <c r="H645" s="210"/>
      <c r="I645" s="177"/>
    </row>
    <row r="646" spans="1:9" x14ac:dyDescent="0.25">
      <c r="A646" s="187">
        <v>70310</v>
      </c>
      <c r="B646" s="187" t="s">
        <v>584</v>
      </c>
      <c r="C646" s="187"/>
      <c r="D646" s="187"/>
      <c r="E646" s="187">
        <v>7.46</v>
      </c>
      <c r="F646" s="187" t="s">
        <v>319</v>
      </c>
      <c r="G646" s="184">
        <f t="shared" si="9"/>
        <v>0</v>
      </c>
      <c r="H646" s="210"/>
      <c r="I646" s="177"/>
    </row>
    <row r="647" spans="1:9" x14ac:dyDescent="0.25">
      <c r="A647" s="187">
        <v>70320</v>
      </c>
      <c r="B647" s="187" t="s">
        <v>585</v>
      </c>
      <c r="C647" s="187"/>
      <c r="D647" s="187"/>
      <c r="E647" s="187">
        <v>12.43</v>
      </c>
      <c r="F647" s="187" t="s">
        <v>319</v>
      </c>
      <c r="G647" s="184">
        <f t="shared" si="9"/>
        <v>0</v>
      </c>
      <c r="H647" s="210"/>
      <c r="I647" s="177"/>
    </row>
    <row r="648" spans="1:9" x14ac:dyDescent="0.25">
      <c r="A648" s="187">
        <v>70330</v>
      </c>
      <c r="B648" s="187" t="s">
        <v>998</v>
      </c>
      <c r="C648" s="187"/>
      <c r="D648" s="187"/>
      <c r="E648" s="187">
        <v>7.46</v>
      </c>
      <c r="F648" s="187" t="s">
        <v>319</v>
      </c>
      <c r="G648" s="184">
        <f t="shared" si="9"/>
        <v>0</v>
      </c>
      <c r="H648" s="210"/>
    </row>
    <row r="649" spans="1:9" x14ac:dyDescent="0.25">
      <c r="A649" s="187">
        <v>70340</v>
      </c>
      <c r="B649" s="187" t="s">
        <v>999</v>
      </c>
      <c r="C649" s="187"/>
      <c r="D649" s="187"/>
      <c r="E649" s="187">
        <v>2.2149999999999999</v>
      </c>
      <c r="F649" s="187" t="s">
        <v>319</v>
      </c>
      <c r="G649" s="184">
        <f t="shared" si="9"/>
        <v>0</v>
      </c>
      <c r="H649" s="210"/>
      <c r="I649" s="177"/>
    </row>
    <row r="650" spans="1:9" x14ac:dyDescent="0.25">
      <c r="A650" s="187">
        <v>70350</v>
      </c>
      <c r="B650" s="187" t="s">
        <v>1000</v>
      </c>
      <c r="C650" s="187"/>
      <c r="D650" s="187"/>
      <c r="E650" s="187">
        <v>11.18</v>
      </c>
      <c r="F650" s="187" t="s">
        <v>319</v>
      </c>
      <c r="G650" s="184">
        <f t="shared" si="9"/>
        <v>0</v>
      </c>
      <c r="I650" s="177"/>
    </row>
    <row r="651" spans="1:9" x14ac:dyDescent="0.25">
      <c r="A651" s="187">
        <v>70360</v>
      </c>
      <c r="B651" s="187" t="s">
        <v>586</v>
      </c>
      <c r="C651" s="187"/>
      <c r="D651" s="187"/>
      <c r="E651" s="187">
        <v>11.43</v>
      </c>
      <c r="F651" s="187" t="s">
        <v>319</v>
      </c>
      <c r="G651" s="184">
        <f t="shared" si="9"/>
        <v>0</v>
      </c>
      <c r="H651" s="211"/>
      <c r="I651" s="177"/>
    </row>
    <row r="652" spans="1:9" x14ac:dyDescent="0.25">
      <c r="A652" s="187">
        <v>70710</v>
      </c>
      <c r="B652" s="187" t="s">
        <v>1015</v>
      </c>
      <c r="C652" s="187"/>
      <c r="D652" s="187"/>
      <c r="E652" s="187">
        <v>15.231</v>
      </c>
      <c r="F652" s="187" t="s">
        <v>319</v>
      </c>
      <c r="G652" s="184">
        <f t="shared" ref="G652:G693" si="10">D652*E652</f>
        <v>0</v>
      </c>
      <c r="H652" s="210"/>
      <c r="I652" s="177"/>
    </row>
    <row r="653" spans="1:9" x14ac:dyDescent="0.25">
      <c r="A653" s="187">
        <v>70370</v>
      </c>
      <c r="B653" s="187" t="s">
        <v>816</v>
      </c>
      <c r="C653" s="187"/>
      <c r="D653" s="187"/>
      <c r="E653" s="187">
        <v>31.716000000000001</v>
      </c>
      <c r="F653" s="187" t="s">
        <v>319</v>
      </c>
      <c r="G653" s="184">
        <f t="shared" si="10"/>
        <v>0</v>
      </c>
      <c r="H653" s="210"/>
      <c r="I653" s="177"/>
    </row>
    <row r="654" spans="1:9" x14ac:dyDescent="0.25">
      <c r="A654" s="187">
        <v>70380</v>
      </c>
      <c r="B654" s="187" t="s">
        <v>587</v>
      </c>
      <c r="C654" s="187"/>
      <c r="D654" s="187"/>
      <c r="E654" s="187">
        <v>1.129</v>
      </c>
      <c r="F654" s="187" t="s">
        <v>319</v>
      </c>
      <c r="G654" s="184">
        <f t="shared" si="10"/>
        <v>0</v>
      </c>
      <c r="H654" s="210"/>
      <c r="I654" s="177"/>
    </row>
    <row r="655" spans="1:9" x14ac:dyDescent="0.25">
      <c r="A655" s="187">
        <v>70390</v>
      </c>
      <c r="B655" s="187" t="s">
        <v>588</v>
      </c>
      <c r="C655" s="187"/>
      <c r="D655" s="187"/>
      <c r="E655" s="187">
        <v>2.0870000000000002</v>
      </c>
      <c r="F655" s="187" t="s">
        <v>319</v>
      </c>
      <c r="G655" s="184">
        <f t="shared" si="10"/>
        <v>0</v>
      </c>
      <c r="H655" s="210"/>
      <c r="I655" s="177"/>
    </row>
    <row r="656" spans="1:9" x14ac:dyDescent="0.25">
      <c r="A656" s="187">
        <v>70400</v>
      </c>
      <c r="B656" s="187" t="s">
        <v>817</v>
      </c>
      <c r="C656" s="187"/>
      <c r="D656" s="187"/>
      <c r="E656" s="187">
        <v>4.3520000000000003</v>
      </c>
      <c r="F656" s="187" t="s">
        <v>319</v>
      </c>
      <c r="G656" s="184">
        <f t="shared" si="10"/>
        <v>0</v>
      </c>
      <c r="H656" s="210"/>
      <c r="I656" s="177"/>
    </row>
    <row r="657" spans="1:9" x14ac:dyDescent="0.25">
      <c r="A657" s="187">
        <v>70405</v>
      </c>
      <c r="B657" s="187" t="s">
        <v>818</v>
      </c>
      <c r="C657" s="187"/>
      <c r="D657" s="187"/>
      <c r="E657" s="187">
        <v>2.0870000000000002</v>
      </c>
      <c r="F657" s="187" t="s">
        <v>319</v>
      </c>
      <c r="G657" s="184">
        <f t="shared" si="10"/>
        <v>0</v>
      </c>
      <c r="H657" s="210"/>
    </row>
    <row r="658" spans="1:9" x14ac:dyDescent="0.25">
      <c r="A658" s="187">
        <v>70410</v>
      </c>
      <c r="B658" s="187" t="s">
        <v>819</v>
      </c>
      <c r="C658" s="187"/>
      <c r="D658" s="187"/>
      <c r="E658" s="187">
        <v>2.73</v>
      </c>
      <c r="F658" s="187" t="s">
        <v>319</v>
      </c>
      <c r="G658" s="184">
        <f t="shared" si="10"/>
        <v>0</v>
      </c>
      <c r="H658" s="210"/>
      <c r="I658" s="177"/>
    </row>
    <row r="659" spans="1:9" x14ac:dyDescent="0.25">
      <c r="A659" s="187">
        <v>70420</v>
      </c>
      <c r="B659" s="187" t="s">
        <v>820</v>
      </c>
      <c r="C659" s="187"/>
      <c r="D659" s="187"/>
      <c r="E659" s="187">
        <v>9.7650000000000006</v>
      </c>
      <c r="F659" s="187" t="s">
        <v>319</v>
      </c>
      <c r="G659" s="184">
        <f t="shared" si="10"/>
        <v>0</v>
      </c>
      <c r="I659" s="177"/>
    </row>
    <row r="660" spans="1:9" x14ac:dyDescent="0.25">
      <c r="A660" s="187">
        <v>70430</v>
      </c>
      <c r="B660" s="187" t="s">
        <v>821</v>
      </c>
      <c r="C660" s="187"/>
      <c r="D660" s="187"/>
      <c r="E660" s="187">
        <v>10.756</v>
      </c>
      <c r="F660" s="187" t="s">
        <v>319</v>
      </c>
      <c r="G660" s="184">
        <f t="shared" si="10"/>
        <v>0</v>
      </c>
      <c r="H660" s="210"/>
      <c r="I660" s="177"/>
    </row>
    <row r="661" spans="1:9" x14ac:dyDescent="0.25">
      <c r="A661" s="181">
        <v>70680</v>
      </c>
      <c r="B661" s="181" t="s">
        <v>838</v>
      </c>
      <c r="C661" s="181"/>
      <c r="D661" s="181"/>
      <c r="E661" s="181">
        <v>48.426000000000002</v>
      </c>
      <c r="F661" s="187" t="s">
        <v>319</v>
      </c>
      <c r="G661" s="184">
        <f t="shared" si="10"/>
        <v>0</v>
      </c>
      <c r="H661" s="210"/>
      <c r="I661" s="177"/>
    </row>
    <row r="662" spans="1:9" x14ac:dyDescent="0.25">
      <c r="A662" s="187">
        <v>70440</v>
      </c>
      <c r="B662" s="187" t="s">
        <v>1002</v>
      </c>
      <c r="C662" s="187"/>
      <c r="D662" s="187"/>
      <c r="E662" s="187">
        <v>11.116</v>
      </c>
      <c r="F662" s="187" t="s">
        <v>319</v>
      </c>
      <c r="G662" s="184">
        <f t="shared" si="10"/>
        <v>0</v>
      </c>
      <c r="H662" s="210"/>
      <c r="I662" s="177"/>
    </row>
    <row r="663" spans="1:9" x14ac:dyDescent="0.25">
      <c r="A663" s="187">
        <v>70445</v>
      </c>
      <c r="B663" s="187" t="s">
        <v>1001</v>
      </c>
      <c r="C663" s="187"/>
      <c r="D663" s="187"/>
      <c r="E663" s="187">
        <v>11.116</v>
      </c>
      <c r="F663" s="187" t="s">
        <v>319</v>
      </c>
      <c r="G663" s="184">
        <f t="shared" si="10"/>
        <v>0</v>
      </c>
      <c r="H663" s="210"/>
      <c r="I663" s="177"/>
    </row>
    <row r="664" spans="1:9" x14ac:dyDescent="0.25">
      <c r="A664" s="187">
        <v>70450</v>
      </c>
      <c r="B664" s="187" t="s">
        <v>1003</v>
      </c>
      <c r="C664" s="187"/>
      <c r="D664" s="187"/>
      <c r="E664" s="187">
        <v>9.3576899999999998</v>
      </c>
      <c r="F664" s="187" t="s">
        <v>319</v>
      </c>
      <c r="G664" s="184">
        <f t="shared" si="10"/>
        <v>0</v>
      </c>
      <c r="H664" s="210"/>
      <c r="I664" s="177"/>
    </row>
    <row r="665" spans="1:9" x14ac:dyDescent="0.25">
      <c r="A665" s="187">
        <v>70460</v>
      </c>
      <c r="B665" s="187" t="s">
        <v>822</v>
      </c>
      <c r="C665" s="187"/>
      <c r="D665" s="187"/>
      <c r="E665" s="187">
        <v>4.83</v>
      </c>
      <c r="F665" s="187" t="s">
        <v>319</v>
      </c>
      <c r="G665" s="184">
        <f t="shared" si="10"/>
        <v>0</v>
      </c>
      <c r="H665" s="210"/>
      <c r="I665" s="177"/>
    </row>
    <row r="666" spans="1:9" x14ac:dyDescent="0.25">
      <c r="A666" s="187">
        <v>70470</v>
      </c>
      <c r="B666" s="187" t="s">
        <v>823</v>
      </c>
      <c r="C666" s="187"/>
      <c r="D666" s="187"/>
      <c r="E666" s="187">
        <v>1.55</v>
      </c>
      <c r="F666" s="187" t="s">
        <v>319</v>
      </c>
      <c r="G666" s="184">
        <f t="shared" si="10"/>
        <v>0</v>
      </c>
      <c r="H666" s="210"/>
      <c r="I666" s="177"/>
    </row>
    <row r="667" spans="1:9" x14ac:dyDescent="0.25">
      <c r="A667" s="187">
        <v>70480</v>
      </c>
      <c r="B667" s="187" t="s">
        <v>824</v>
      </c>
      <c r="C667" s="187"/>
      <c r="D667" s="187"/>
      <c r="E667" s="187">
        <v>2.637</v>
      </c>
      <c r="F667" s="187" t="s">
        <v>319</v>
      </c>
      <c r="G667" s="184">
        <f t="shared" si="10"/>
        <v>0</v>
      </c>
      <c r="H667" s="210"/>
      <c r="I667" s="177"/>
    </row>
    <row r="668" spans="1:9" x14ac:dyDescent="0.25">
      <c r="A668" s="187">
        <v>70485</v>
      </c>
      <c r="B668" s="187" t="s">
        <v>825</v>
      </c>
      <c r="C668" s="187"/>
      <c r="D668" s="187"/>
      <c r="E668" s="187">
        <v>6.8230000000000004</v>
      </c>
      <c r="F668" s="187" t="s">
        <v>319</v>
      </c>
      <c r="G668" s="184">
        <f t="shared" si="10"/>
        <v>0</v>
      </c>
      <c r="H668" s="210"/>
      <c r="I668" s="177"/>
    </row>
    <row r="669" spans="1:9" x14ac:dyDescent="0.25">
      <c r="A669" s="187">
        <v>70490</v>
      </c>
      <c r="B669" s="187" t="s">
        <v>1004</v>
      </c>
      <c r="C669" s="187"/>
      <c r="D669" s="187"/>
      <c r="E669" s="187">
        <v>2.9430000000000001</v>
      </c>
      <c r="F669" s="187" t="s">
        <v>319</v>
      </c>
      <c r="G669" s="184">
        <f t="shared" si="10"/>
        <v>0</v>
      </c>
      <c r="H669" s="210"/>
      <c r="I669" s="177"/>
    </row>
    <row r="670" spans="1:9" x14ac:dyDescent="0.25">
      <c r="A670" s="187">
        <v>70500</v>
      </c>
      <c r="B670" s="187" t="s">
        <v>826</v>
      </c>
      <c r="C670" s="187"/>
      <c r="D670" s="187"/>
      <c r="E670" s="187">
        <v>3.4769999999999999</v>
      </c>
      <c r="F670" s="187" t="s">
        <v>319</v>
      </c>
      <c r="G670" s="184">
        <f t="shared" si="10"/>
        <v>0</v>
      </c>
      <c r="H670" s="210"/>
      <c r="I670" s="177"/>
    </row>
    <row r="671" spans="1:9" x14ac:dyDescent="0.25">
      <c r="A671" s="187">
        <v>70510</v>
      </c>
      <c r="B671" s="187" t="s">
        <v>827</v>
      </c>
      <c r="C671" s="187"/>
      <c r="D671" s="187"/>
      <c r="E671" s="187">
        <v>0.56000000000000005</v>
      </c>
      <c r="F671" s="187" t="s">
        <v>319</v>
      </c>
      <c r="G671" s="184">
        <f t="shared" si="10"/>
        <v>0</v>
      </c>
      <c r="H671" s="210"/>
      <c r="I671" s="177"/>
    </row>
    <row r="672" spans="1:9" x14ac:dyDescent="0.25">
      <c r="A672" s="187">
        <v>70520</v>
      </c>
      <c r="B672" s="187" t="s">
        <v>1005</v>
      </c>
      <c r="C672" s="187"/>
      <c r="D672" s="187"/>
      <c r="E672" s="187">
        <v>5.9387499999999998</v>
      </c>
      <c r="F672" s="187" t="s">
        <v>319</v>
      </c>
      <c r="G672" s="184">
        <f t="shared" si="10"/>
        <v>0</v>
      </c>
      <c r="H672" s="210"/>
      <c r="I672" s="177"/>
    </row>
    <row r="673" spans="1:9" x14ac:dyDescent="0.25">
      <c r="A673" s="187">
        <v>70530</v>
      </c>
      <c r="B673" s="187" t="s">
        <v>828</v>
      </c>
      <c r="C673" s="187"/>
      <c r="D673" s="187"/>
      <c r="E673" s="187">
        <v>1.8360000000000001</v>
      </c>
      <c r="F673" s="187" t="s">
        <v>319</v>
      </c>
      <c r="G673" s="184">
        <f t="shared" si="10"/>
        <v>0</v>
      </c>
      <c r="H673" s="210"/>
      <c r="I673" s="177"/>
    </row>
    <row r="674" spans="1:9" x14ac:dyDescent="0.25">
      <c r="A674" s="187">
        <v>70540</v>
      </c>
      <c r="B674" s="187" t="s">
        <v>829</v>
      </c>
      <c r="C674" s="187"/>
      <c r="D674" s="187"/>
      <c r="E674" s="187">
        <v>2.1019999999999999</v>
      </c>
      <c r="F674" s="187" t="s">
        <v>319</v>
      </c>
      <c r="G674" s="184">
        <f t="shared" si="10"/>
        <v>0</v>
      </c>
      <c r="H674" s="210"/>
      <c r="I674" s="177"/>
    </row>
    <row r="675" spans="1:9" x14ac:dyDescent="0.25">
      <c r="A675" s="187">
        <v>70550</v>
      </c>
      <c r="B675" s="187" t="s">
        <v>1006</v>
      </c>
      <c r="C675" s="187"/>
      <c r="D675" s="187"/>
      <c r="E675" s="187">
        <v>2.5819999999999999</v>
      </c>
      <c r="F675" s="187" t="s">
        <v>319</v>
      </c>
      <c r="G675" s="184">
        <f t="shared" si="10"/>
        <v>0</v>
      </c>
      <c r="H675" s="210"/>
      <c r="I675" s="177"/>
    </row>
    <row r="676" spans="1:9" x14ac:dyDescent="0.25">
      <c r="A676" s="187">
        <v>70560</v>
      </c>
      <c r="B676" s="187" t="s">
        <v>1007</v>
      </c>
      <c r="C676" s="187"/>
      <c r="D676" s="187"/>
      <c r="E676" s="187">
        <v>1.8</v>
      </c>
      <c r="F676" s="187" t="s">
        <v>319</v>
      </c>
      <c r="G676" s="184">
        <f t="shared" si="10"/>
        <v>0</v>
      </c>
      <c r="H676" s="210"/>
    </row>
    <row r="677" spans="1:9" x14ac:dyDescent="0.25">
      <c r="A677" s="187">
        <v>70570</v>
      </c>
      <c r="B677" s="187" t="s">
        <v>1008</v>
      </c>
      <c r="C677" s="187"/>
      <c r="D677" s="187"/>
      <c r="E677" s="187">
        <v>11.904999999999999</v>
      </c>
      <c r="F677" s="187" t="s">
        <v>319</v>
      </c>
      <c r="G677" s="184">
        <f t="shared" si="10"/>
        <v>0</v>
      </c>
      <c r="H677" s="210"/>
    </row>
    <row r="678" spans="1:9" x14ac:dyDescent="0.25">
      <c r="A678" s="187">
        <v>70580</v>
      </c>
      <c r="B678" s="187" t="s">
        <v>830</v>
      </c>
      <c r="C678" s="187"/>
      <c r="D678" s="187"/>
      <c r="E678" s="187">
        <v>0.88</v>
      </c>
      <c r="F678" s="187" t="s">
        <v>319</v>
      </c>
      <c r="G678" s="184">
        <f t="shared" si="10"/>
        <v>0</v>
      </c>
    </row>
    <row r="679" spans="1:9" x14ac:dyDescent="0.25">
      <c r="A679" s="187">
        <v>70590</v>
      </c>
      <c r="B679" s="187" t="s">
        <v>831</v>
      </c>
      <c r="C679" s="187"/>
      <c r="D679" s="187"/>
      <c r="E679" s="187">
        <v>4.0110000000000001</v>
      </c>
      <c r="F679" s="187" t="s">
        <v>319</v>
      </c>
      <c r="G679" s="184">
        <f t="shared" si="10"/>
        <v>0</v>
      </c>
    </row>
    <row r="680" spans="1:9" x14ac:dyDescent="0.25">
      <c r="A680" s="187">
        <v>70600</v>
      </c>
      <c r="B680" s="187" t="s">
        <v>832</v>
      </c>
      <c r="C680" s="187"/>
      <c r="D680" s="187"/>
      <c r="E680" s="187">
        <v>8.5370000000000008</v>
      </c>
      <c r="F680" s="187" t="s">
        <v>319</v>
      </c>
      <c r="G680" s="184">
        <f t="shared" si="10"/>
        <v>0</v>
      </c>
    </row>
    <row r="681" spans="1:9" x14ac:dyDescent="0.25">
      <c r="A681" s="187">
        <v>70610</v>
      </c>
      <c r="B681" s="187" t="s">
        <v>833</v>
      </c>
      <c r="C681" s="187"/>
      <c r="D681" s="187"/>
      <c r="E681" s="188"/>
      <c r="F681" s="187" t="s">
        <v>319</v>
      </c>
      <c r="G681" s="184">
        <f t="shared" si="10"/>
        <v>0</v>
      </c>
    </row>
    <row r="682" spans="1:9" x14ac:dyDescent="0.25">
      <c r="A682" s="187">
        <v>70690</v>
      </c>
      <c r="B682" s="187" t="s">
        <v>839</v>
      </c>
      <c r="C682" s="187"/>
      <c r="D682" s="187"/>
      <c r="E682" s="187">
        <v>2.004</v>
      </c>
      <c r="F682" s="187" t="s">
        <v>319</v>
      </c>
      <c r="G682" s="184">
        <f t="shared" si="10"/>
        <v>0</v>
      </c>
    </row>
    <row r="683" spans="1:9" x14ac:dyDescent="0.25">
      <c r="A683" s="187">
        <v>70691</v>
      </c>
      <c r="B683" s="187" t="s">
        <v>840</v>
      </c>
      <c r="C683" s="187"/>
      <c r="D683" s="187"/>
      <c r="E683" s="187">
        <v>3.03</v>
      </c>
      <c r="F683" s="187" t="s">
        <v>319</v>
      </c>
      <c r="G683" s="184">
        <f t="shared" si="10"/>
        <v>0</v>
      </c>
    </row>
    <row r="684" spans="1:9" x14ac:dyDescent="0.25">
      <c r="A684" s="187">
        <v>70615</v>
      </c>
      <c r="B684" s="187" t="s">
        <v>834</v>
      </c>
      <c r="C684" s="187"/>
      <c r="D684" s="187"/>
      <c r="E684" s="187">
        <v>3.4769999999999999</v>
      </c>
      <c r="F684" s="187" t="s">
        <v>319</v>
      </c>
      <c r="G684" s="184">
        <f t="shared" si="10"/>
        <v>0</v>
      </c>
    </row>
    <row r="685" spans="1:9" x14ac:dyDescent="0.25">
      <c r="A685" s="187">
        <v>70715</v>
      </c>
      <c r="B685" s="187" t="s">
        <v>841</v>
      </c>
      <c r="C685" s="187"/>
      <c r="D685" s="187"/>
      <c r="E685" s="187">
        <v>13.54</v>
      </c>
      <c r="F685" s="187" t="s">
        <v>319</v>
      </c>
      <c r="G685" s="184">
        <f t="shared" si="10"/>
        <v>0</v>
      </c>
    </row>
    <row r="686" spans="1:9" x14ac:dyDescent="0.25">
      <c r="A686" s="187">
        <v>70720</v>
      </c>
      <c r="B686" s="187" t="s">
        <v>842</v>
      </c>
      <c r="C686" s="187"/>
      <c r="D686" s="187"/>
      <c r="E686" s="187">
        <v>5.25</v>
      </c>
      <c r="F686" s="187" t="s">
        <v>319</v>
      </c>
      <c r="G686" s="184">
        <f t="shared" si="10"/>
        <v>0</v>
      </c>
    </row>
    <row r="687" spans="1:9" x14ac:dyDescent="0.25">
      <c r="A687" s="187">
        <v>70620</v>
      </c>
      <c r="B687" s="187" t="s">
        <v>1009</v>
      </c>
      <c r="C687" s="187"/>
      <c r="D687" s="187"/>
      <c r="E687" s="187">
        <v>0.08</v>
      </c>
      <c r="F687" s="187" t="s">
        <v>319</v>
      </c>
      <c r="G687" s="184">
        <f t="shared" si="10"/>
        <v>0</v>
      </c>
    </row>
    <row r="688" spans="1:9" x14ac:dyDescent="0.25">
      <c r="A688" s="187">
        <v>70630</v>
      </c>
      <c r="B688" s="187" t="s">
        <v>1010</v>
      </c>
      <c r="C688" s="187"/>
      <c r="D688" s="187"/>
      <c r="E688" s="187">
        <v>2.5000000000000001E-2</v>
      </c>
      <c r="F688" s="187" t="s">
        <v>319</v>
      </c>
      <c r="G688" s="184">
        <f t="shared" si="10"/>
        <v>0</v>
      </c>
    </row>
    <row r="689" spans="1:7" x14ac:dyDescent="0.25">
      <c r="A689" s="187">
        <v>70640</v>
      </c>
      <c r="B689" s="187" t="s">
        <v>835</v>
      </c>
      <c r="C689" s="187"/>
      <c r="D689" s="187"/>
      <c r="E689" s="187">
        <v>8.5000000000000006E-2</v>
      </c>
      <c r="F689" s="187" t="s">
        <v>319</v>
      </c>
      <c r="G689" s="184">
        <f t="shared" si="10"/>
        <v>0</v>
      </c>
    </row>
    <row r="690" spans="1:7" x14ac:dyDescent="0.25">
      <c r="A690" s="187">
        <v>70650</v>
      </c>
      <c r="B690" s="187" t="s">
        <v>1011</v>
      </c>
      <c r="C690" s="187"/>
      <c r="D690" s="187"/>
      <c r="E690" s="187">
        <v>114.4</v>
      </c>
      <c r="F690" s="187" t="s">
        <v>319</v>
      </c>
      <c r="G690" s="184">
        <f t="shared" si="10"/>
        <v>0</v>
      </c>
    </row>
    <row r="691" spans="1:7" ht="24" x14ac:dyDescent="0.25">
      <c r="A691" s="187">
        <v>70670</v>
      </c>
      <c r="B691" s="187" t="s">
        <v>836</v>
      </c>
      <c r="C691" s="187"/>
      <c r="D691" s="187"/>
      <c r="E691" s="187">
        <v>21.24</v>
      </c>
      <c r="F691" s="187" t="s">
        <v>319</v>
      </c>
      <c r="G691" s="184">
        <f t="shared" si="10"/>
        <v>0</v>
      </c>
    </row>
    <row r="692" spans="1:7" ht="24" x14ac:dyDescent="0.25">
      <c r="A692" s="187">
        <v>70671</v>
      </c>
      <c r="B692" s="187" t="s">
        <v>1012</v>
      </c>
      <c r="C692" s="187"/>
      <c r="D692" s="187"/>
      <c r="E692" s="187">
        <v>44.67</v>
      </c>
      <c r="F692" s="187" t="s">
        <v>319</v>
      </c>
      <c r="G692" s="184">
        <f t="shared" si="10"/>
        <v>0</v>
      </c>
    </row>
    <row r="693" spans="1:7" x14ac:dyDescent="0.25">
      <c r="A693" s="187">
        <v>70672</v>
      </c>
      <c r="B693" s="187" t="s">
        <v>837</v>
      </c>
      <c r="C693" s="187"/>
      <c r="D693" s="187"/>
      <c r="E693" s="187">
        <v>9.17</v>
      </c>
      <c r="F693" s="187" t="s">
        <v>319</v>
      </c>
      <c r="G693" s="184">
        <f t="shared" si="10"/>
        <v>0</v>
      </c>
    </row>
    <row r="695" spans="1:7" x14ac:dyDescent="0.25">
      <c r="G695" s="212">
        <f>SUM(G11:G694)</f>
        <v>1951.6847</v>
      </c>
    </row>
  </sheetData>
  <mergeCells count="7">
    <mergeCell ref="B8:C8"/>
    <mergeCell ref="A1:F1"/>
    <mergeCell ref="B3:C3"/>
    <mergeCell ref="B4:C4"/>
    <mergeCell ref="B5:C5"/>
    <mergeCell ref="B6:C6"/>
    <mergeCell ref="B7:C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EB79-3534-42F6-ADD0-5A9B6C291502}">
  <dimension ref="A1:E22"/>
  <sheetViews>
    <sheetView workbookViewId="0"/>
  </sheetViews>
  <sheetFormatPr defaultRowHeight="15" x14ac:dyDescent="0.25"/>
  <cols>
    <col min="4" max="4" width="44.7109375" customWidth="1"/>
    <col min="5" max="5" width="13.42578125" customWidth="1"/>
  </cols>
  <sheetData>
    <row r="1" spans="1:5" x14ac:dyDescent="0.25">
      <c r="A1" s="65" t="s">
        <v>162</v>
      </c>
      <c r="B1" s="66"/>
      <c r="C1" s="66"/>
      <c r="D1" s="66"/>
      <c r="E1" s="67"/>
    </row>
    <row r="3" spans="1:5" x14ac:dyDescent="0.25">
      <c r="A3" t="s">
        <v>7</v>
      </c>
    </row>
    <row r="5" spans="1:5" x14ac:dyDescent="0.25">
      <c r="B5" t="s">
        <v>75</v>
      </c>
      <c r="C5" t="s">
        <v>163</v>
      </c>
      <c r="D5" t="s">
        <v>77</v>
      </c>
      <c r="E5" t="s">
        <v>78</v>
      </c>
    </row>
    <row r="6" spans="1:5" ht="25.15" customHeight="1" x14ac:dyDescent="0.25">
      <c r="B6" s="68"/>
      <c r="C6" s="6">
        <v>75</v>
      </c>
      <c r="D6" s="70" t="s">
        <v>155</v>
      </c>
      <c r="E6" s="6"/>
    </row>
    <row r="7" spans="1:5" ht="25.15" customHeight="1" x14ac:dyDescent="0.25">
      <c r="B7" s="68"/>
      <c r="C7" s="6">
        <v>75</v>
      </c>
      <c r="D7" s="70" t="s">
        <v>156</v>
      </c>
      <c r="E7" s="6"/>
    </row>
    <row r="8" spans="1:5" ht="25.15" customHeight="1" x14ac:dyDescent="0.25">
      <c r="B8" s="68"/>
      <c r="C8" s="6">
        <v>5</v>
      </c>
      <c r="D8" s="70" t="s">
        <v>157</v>
      </c>
      <c r="E8" s="6"/>
    </row>
    <row r="9" spans="1:5" ht="25.15" customHeight="1" x14ac:dyDescent="0.25">
      <c r="B9" s="68"/>
      <c r="C9" s="6">
        <v>20</v>
      </c>
      <c r="D9" s="70" t="s">
        <v>158</v>
      </c>
      <c r="E9" s="6"/>
    </row>
    <row r="11" spans="1:5" x14ac:dyDescent="0.25">
      <c r="A11" t="s">
        <v>159</v>
      </c>
      <c r="B11" t="s">
        <v>160</v>
      </c>
      <c r="C11" t="s">
        <v>161</v>
      </c>
    </row>
    <row r="12" spans="1:5" ht="23.45" customHeight="1" x14ac:dyDescent="0.25">
      <c r="A12" s="68"/>
      <c r="B12" s="17">
        <v>20</v>
      </c>
      <c r="C12" s="6"/>
      <c r="D12" s="6"/>
      <c r="E12" s="6"/>
    </row>
    <row r="13" spans="1:5" ht="23.45" customHeight="1" x14ac:dyDescent="0.25">
      <c r="A13" s="68"/>
      <c r="B13" s="17"/>
      <c r="C13" s="6"/>
      <c r="D13" s="6"/>
      <c r="E13" s="6"/>
    </row>
    <row r="14" spans="1:5" ht="23.45" customHeight="1" x14ac:dyDescent="0.25">
      <c r="A14" s="68"/>
      <c r="B14" s="17"/>
      <c r="C14" s="6"/>
      <c r="D14" s="6"/>
      <c r="E14" s="6"/>
    </row>
    <row r="15" spans="1:5" ht="23.45" customHeight="1" x14ac:dyDescent="0.25">
      <c r="A15" s="68"/>
      <c r="B15" s="17"/>
      <c r="C15" s="6"/>
      <c r="D15" s="6"/>
      <c r="E15" s="6"/>
    </row>
    <row r="16" spans="1:5" ht="23.45" customHeight="1" x14ac:dyDescent="0.25">
      <c r="A16" s="68"/>
      <c r="B16" s="17"/>
      <c r="C16" s="6"/>
      <c r="D16" s="6"/>
      <c r="E16" s="6"/>
    </row>
    <row r="17" spans="1:5" ht="23.45" customHeight="1" x14ac:dyDescent="0.25">
      <c r="A17" s="68"/>
      <c r="B17" s="17"/>
      <c r="C17" s="6"/>
      <c r="D17" s="6"/>
      <c r="E17" s="6"/>
    </row>
    <row r="18" spans="1:5" ht="23.45" customHeight="1" x14ac:dyDescent="0.25">
      <c r="A18" s="68"/>
      <c r="B18" s="17"/>
      <c r="C18" s="6"/>
      <c r="D18" s="6"/>
      <c r="E18" s="6"/>
    </row>
    <row r="19" spans="1:5" ht="23.45" customHeight="1" x14ac:dyDescent="0.25">
      <c r="A19" s="68"/>
      <c r="B19" s="17"/>
      <c r="C19" s="6"/>
      <c r="D19" s="6"/>
      <c r="E19" s="6"/>
    </row>
    <row r="20" spans="1:5" ht="23.45" customHeight="1" x14ac:dyDescent="0.25">
      <c r="A20" s="68"/>
      <c r="B20" s="17"/>
      <c r="C20" s="6"/>
      <c r="D20" s="6"/>
      <c r="E20" s="6"/>
    </row>
    <row r="22" spans="1:5" ht="24.6" customHeight="1" x14ac:dyDescent="0.25">
      <c r="A22" s="9"/>
      <c r="B22" s="12"/>
      <c r="C22" s="12"/>
      <c r="D22" s="69" t="s">
        <v>112</v>
      </c>
      <c r="E22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51B0-2FBF-47B3-A2E0-21EE6FF4AA67}">
  <dimension ref="A1:F60"/>
  <sheetViews>
    <sheetView topLeftCell="A16" workbookViewId="0">
      <selection activeCell="C17" sqref="C17"/>
    </sheetView>
  </sheetViews>
  <sheetFormatPr defaultRowHeight="15" x14ac:dyDescent="0.25"/>
  <cols>
    <col min="1" max="1" width="11.42578125" customWidth="1"/>
    <col min="2" max="2" width="5.42578125" bestFit="1" customWidth="1"/>
    <col min="3" max="3" width="76" bestFit="1" customWidth="1"/>
  </cols>
  <sheetData>
    <row r="1" spans="1:6" x14ac:dyDescent="0.25">
      <c r="A1" t="s">
        <v>172</v>
      </c>
      <c r="C1" s="175" t="s">
        <v>591</v>
      </c>
    </row>
    <row r="8" spans="1:6" x14ac:dyDescent="0.25">
      <c r="A8" s="16" t="s">
        <v>173</v>
      </c>
      <c r="B8" s="16" t="s">
        <v>174</v>
      </c>
      <c r="C8" s="16" t="s">
        <v>77</v>
      </c>
    </row>
    <row r="9" spans="1:6" x14ac:dyDescent="0.25">
      <c r="A9" s="61">
        <v>250</v>
      </c>
      <c r="B9" s="61" t="s">
        <v>175</v>
      </c>
      <c r="C9" t="s">
        <v>176</v>
      </c>
    </row>
    <row r="10" spans="1:6" x14ac:dyDescent="0.25">
      <c r="A10" s="61">
        <v>375</v>
      </c>
      <c r="B10" s="61" t="s">
        <v>175</v>
      </c>
      <c r="C10" t="s">
        <v>177</v>
      </c>
    </row>
    <row r="11" spans="1:6" x14ac:dyDescent="0.25">
      <c r="A11" s="61">
        <v>75</v>
      </c>
      <c r="B11" s="61" t="s">
        <v>175</v>
      </c>
      <c r="C11" t="s">
        <v>178</v>
      </c>
    </row>
    <row r="12" spans="1:6" x14ac:dyDescent="0.25">
      <c r="A12" s="61">
        <v>75</v>
      </c>
      <c r="B12" s="61" t="s">
        <v>179</v>
      </c>
      <c r="C12" t="s">
        <v>180</v>
      </c>
    </row>
    <row r="13" spans="1:6" x14ac:dyDescent="0.25">
      <c r="A13" s="61">
        <v>1650</v>
      </c>
      <c r="B13" s="61" t="s">
        <v>179</v>
      </c>
      <c r="C13" t="s">
        <v>181</v>
      </c>
    </row>
    <row r="14" spans="1:6" x14ac:dyDescent="0.25">
      <c r="A14" s="61">
        <v>750</v>
      </c>
      <c r="B14" s="61" t="s">
        <v>175</v>
      </c>
      <c r="C14" t="s">
        <v>182</v>
      </c>
      <c r="F14">
        <v>19250</v>
      </c>
    </row>
    <row r="15" spans="1:6" x14ac:dyDescent="0.25">
      <c r="A15" s="61">
        <v>160</v>
      </c>
      <c r="B15" s="61" t="s">
        <v>175</v>
      </c>
      <c r="C15" t="s">
        <v>183</v>
      </c>
      <c r="F15">
        <v>800</v>
      </c>
    </row>
    <row r="16" spans="1:6" x14ac:dyDescent="0.25">
      <c r="A16" s="61">
        <v>250</v>
      </c>
      <c r="B16" s="61" t="s">
        <v>175</v>
      </c>
      <c r="C16" t="s">
        <v>184</v>
      </c>
      <c r="F16">
        <v>375</v>
      </c>
    </row>
    <row r="17" spans="1:6" x14ac:dyDescent="0.25">
      <c r="A17" s="61">
        <v>325</v>
      </c>
      <c r="B17" s="61" t="s">
        <v>175</v>
      </c>
      <c r="C17" t="s">
        <v>185</v>
      </c>
      <c r="F17">
        <v>375</v>
      </c>
    </row>
    <row r="18" spans="1:6" x14ac:dyDescent="0.25">
      <c r="A18" s="61">
        <v>200</v>
      </c>
      <c r="B18" s="61" t="s">
        <v>175</v>
      </c>
      <c r="C18" t="s">
        <v>186</v>
      </c>
      <c r="F18">
        <v>1650</v>
      </c>
    </row>
    <row r="19" spans="1:6" x14ac:dyDescent="0.25">
      <c r="A19" s="61">
        <v>100</v>
      </c>
      <c r="B19" s="61" t="s">
        <v>175</v>
      </c>
      <c r="C19" t="s">
        <v>187</v>
      </c>
      <c r="F19">
        <f>SUM(F14:F18)</f>
        <v>22450</v>
      </c>
    </row>
    <row r="20" spans="1:6" x14ac:dyDescent="0.25">
      <c r="A20" s="61">
        <v>100</v>
      </c>
      <c r="B20" s="61" t="s">
        <v>175</v>
      </c>
      <c r="C20" t="s">
        <v>188</v>
      </c>
    </row>
    <row r="21" spans="1:6" x14ac:dyDescent="0.25">
      <c r="A21" s="61">
        <v>200</v>
      </c>
      <c r="B21" s="61" t="s">
        <v>175</v>
      </c>
      <c r="C21" t="s">
        <v>189</v>
      </c>
    </row>
    <row r="22" spans="1:6" x14ac:dyDescent="0.25">
      <c r="A22" s="61">
        <v>380</v>
      </c>
      <c r="B22" s="61" t="s">
        <v>175</v>
      </c>
      <c r="C22" t="s">
        <v>190</v>
      </c>
    </row>
    <row r="23" spans="1:6" x14ac:dyDescent="0.25">
      <c r="A23" s="61">
        <v>650</v>
      </c>
      <c r="B23" s="61" t="s">
        <v>175</v>
      </c>
      <c r="C23" t="s">
        <v>191</v>
      </c>
    </row>
    <row r="24" spans="1:6" x14ac:dyDescent="0.25">
      <c r="A24" s="61">
        <v>400</v>
      </c>
      <c r="B24" s="61" t="s">
        <v>175</v>
      </c>
      <c r="C24" t="s">
        <v>192</v>
      </c>
    </row>
    <row r="25" spans="1:6" x14ac:dyDescent="0.25">
      <c r="A25" s="61">
        <v>800</v>
      </c>
      <c r="B25" s="61" t="s">
        <v>175</v>
      </c>
      <c r="C25" t="s">
        <v>193</v>
      </c>
    </row>
    <row r="26" spans="1:6" x14ac:dyDescent="0.25">
      <c r="A26" s="61">
        <v>475</v>
      </c>
      <c r="B26" s="61" t="s">
        <v>175</v>
      </c>
      <c r="C26" t="s">
        <v>194</v>
      </c>
    </row>
    <row r="27" spans="1:6" x14ac:dyDescent="0.25">
      <c r="A27" s="61">
        <v>850</v>
      </c>
      <c r="B27" s="61" t="s">
        <v>175</v>
      </c>
      <c r="C27" t="s">
        <v>195</v>
      </c>
    </row>
    <row r="28" spans="1:6" x14ac:dyDescent="0.25">
      <c r="A28" s="61">
        <v>925</v>
      </c>
      <c r="B28" s="61" t="s">
        <v>175</v>
      </c>
      <c r="C28" t="s">
        <v>196</v>
      </c>
    </row>
    <row r="29" spans="1:6" x14ac:dyDescent="0.25">
      <c r="A29" s="61">
        <v>750</v>
      </c>
      <c r="B29" s="61" t="s">
        <v>175</v>
      </c>
      <c r="C29" t="s">
        <v>197</v>
      </c>
    </row>
    <row r="30" spans="1:6" x14ac:dyDescent="0.25">
      <c r="A30" s="61">
        <v>885</v>
      </c>
      <c r="B30" s="61" t="s">
        <v>175</v>
      </c>
      <c r="C30" t="s">
        <v>198</v>
      </c>
    </row>
    <row r="31" spans="1:6" x14ac:dyDescent="0.25">
      <c r="A31" s="61" t="s">
        <v>199</v>
      </c>
      <c r="B31" s="61"/>
      <c r="C31" t="s">
        <v>200</v>
      </c>
    </row>
    <row r="32" spans="1:6" x14ac:dyDescent="0.25">
      <c r="A32" s="61">
        <v>575</v>
      </c>
      <c r="B32" s="61" t="s">
        <v>175</v>
      </c>
      <c r="C32" t="s">
        <v>201</v>
      </c>
    </row>
    <row r="33" spans="1:3" x14ac:dyDescent="0.25">
      <c r="A33" s="61">
        <v>250</v>
      </c>
      <c r="B33" s="61" t="s">
        <v>175</v>
      </c>
      <c r="C33" t="s">
        <v>202</v>
      </c>
    </row>
    <row r="34" spans="1:3" x14ac:dyDescent="0.25">
      <c r="A34" s="61">
        <v>375</v>
      </c>
      <c r="B34" s="61" t="s">
        <v>175</v>
      </c>
      <c r="C34" t="s">
        <v>203</v>
      </c>
    </row>
    <row r="35" spans="1:3" x14ac:dyDescent="0.25">
      <c r="A35" s="61">
        <v>575</v>
      </c>
      <c r="B35" s="61" t="s">
        <v>175</v>
      </c>
      <c r="C35" t="s">
        <v>204</v>
      </c>
    </row>
    <row r="36" spans="1:3" x14ac:dyDescent="0.25">
      <c r="A36" s="176">
        <v>1375</v>
      </c>
      <c r="B36" s="61" t="s">
        <v>175</v>
      </c>
      <c r="C36" t="s">
        <v>205</v>
      </c>
    </row>
    <row r="37" spans="1:3" x14ac:dyDescent="0.25">
      <c r="A37" s="61">
        <v>3400</v>
      </c>
      <c r="B37" s="61" t="s">
        <v>175</v>
      </c>
      <c r="C37" t="s">
        <v>206</v>
      </c>
    </row>
    <row r="38" spans="1:3" x14ac:dyDescent="0.25">
      <c r="A38" s="61">
        <v>3250</v>
      </c>
      <c r="B38" s="61" t="s">
        <v>175</v>
      </c>
      <c r="C38" t="s">
        <v>207</v>
      </c>
    </row>
    <row r="39" spans="1:3" x14ac:dyDescent="0.25">
      <c r="A39" s="176">
        <v>400</v>
      </c>
      <c r="B39" s="61" t="s">
        <v>175</v>
      </c>
      <c r="C39" t="s">
        <v>208</v>
      </c>
    </row>
    <row r="40" spans="1:3" x14ac:dyDescent="0.25">
      <c r="A40" s="61">
        <v>1850</v>
      </c>
      <c r="B40" s="61" t="s">
        <v>175</v>
      </c>
      <c r="C40" t="s">
        <v>209</v>
      </c>
    </row>
    <row r="41" spans="1:3" x14ac:dyDescent="0.25">
      <c r="A41" s="61">
        <v>150</v>
      </c>
      <c r="B41" s="61" t="s">
        <v>175</v>
      </c>
      <c r="C41" t="s">
        <v>210</v>
      </c>
    </row>
    <row r="42" spans="1:3" x14ac:dyDescent="0.25">
      <c r="A42" s="61">
        <v>175</v>
      </c>
      <c r="B42" s="61" t="s">
        <v>175</v>
      </c>
      <c r="C42" t="s">
        <v>211</v>
      </c>
    </row>
    <row r="43" spans="1:3" x14ac:dyDescent="0.25">
      <c r="A43" s="61">
        <v>175</v>
      </c>
      <c r="B43" s="61" t="s">
        <v>175</v>
      </c>
      <c r="C43" t="s">
        <v>212</v>
      </c>
    </row>
    <row r="44" spans="1:3" x14ac:dyDescent="0.25">
      <c r="A44" s="61">
        <v>205</v>
      </c>
      <c r="B44" s="61" t="s">
        <v>175</v>
      </c>
      <c r="C44" t="s">
        <v>215</v>
      </c>
    </row>
    <row r="45" spans="1:3" x14ac:dyDescent="0.25">
      <c r="A45" s="61">
        <v>3150</v>
      </c>
      <c r="B45" s="61" t="s">
        <v>175</v>
      </c>
      <c r="C45" t="s">
        <v>216</v>
      </c>
    </row>
    <row r="46" spans="1:3" x14ac:dyDescent="0.25">
      <c r="A46" s="93">
        <v>785</v>
      </c>
      <c r="B46" s="61" t="s">
        <v>175</v>
      </c>
      <c r="C46" t="s">
        <v>217</v>
      </c>
    </row>
    <row r="47" spans="1:3" x14ac:dyDescent="0.25">
      <c r="A47" s="61">
        <v>125</v>
      </c>
      <c r="B47" s="61" t="s">
        <v>175</v>
      </c>
      <c r="C47" t="s">
        <v>592</v>
      </c>
    </row>
    <row r="48" spans="1:3" x14ac:dyDescent="0.25">
      <c r="A48" s="61">
        <v>75</v>
      </c>
      <c r="B48" s="61" t="s">
        <v>175</v>
      </c>
      <c r="C48" t="s">
        <v>593</v>
      </c>
    </row>
    <row r="49" spans="1:3" x14ac:dyDescent="0.25">
      <c r="A49" s="61">
        <v>300</v>
      </c>
      <c r="B49" s="61" t="s">
        <v>175</v>
      </c>
      <c r="C49" t="s">
        <v>218</v>
      </c>
    </row>
    <row r="50" spans="1:3" x14ac:dyDescent="0.25">
      <c r="A50" s="61">
        <v>500</v>
      </c>
      <c r="B50" s="61" t="s">
        <v>175</v>
      </c>
      <c r="C50" t="s">
        <v>219</v>
      </c>
    </row>
    <row r="51" spans="1:3" x14ac:dyDescent="0.25">
      <c r="A51" s="61">
        <v>175</v>
      </c>
      <c r="B51" s="61" t="s">
        <v>175</v>
      </c>
      <c r="C51" t="s">
        <v>220</v>
      </c>
    </row>
    <row r="52" spans="1:3" x14ac:dyDescent="0.25">
      <c r="A52" s="61">
        <v>175</v>
      </c>
      <c r="B52" s="61" t="s">
        <v>175</v>
      </c>
      <c r="C52" t="s">
        <v>221</v>
      </c>
    </row>
    <row r="53" spans="1:3" x14ac:dyDescent="0.25">
      <c r="A53" s="61">
        <v>90</v>
      </c>
      <c r="B53" s="61" t="s">
        <v>594</v>
      </c>
      <c r="C53" t="s">
        <v>595</v>
      </c>
    </row>
    <row r="59" spans="1:3" x14ac:dyDescent="0.25">
      <c r="A59" s="61">
        <v>685</v>
      </c>
      <c r="B59" s="61" t="s">
        <v>175</v>
      </c>
      <c r="C59" t="s">
        <v>213</v>
      </c>
    </row>
    <row r="60" spans="1:3" x14ac:dyDescent="0.25">
      <c r="A60" s="61">
        <v>625</v>
      </c>
      <c r="B60" s="61" t="s">
        <v>175</v>
      </c>
      <c r="C60" t="s">
        <v>214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2E6E-2C0E-4DF7-8929-0CE457F28204}">
  <dimension ref="A1:M39"/>
  <sheetViews>
    <sheetView workbookViewId="0">
      <selection activeCell="E5" sqref="E5"/>
    </sheetView>
  </sheetViews>
  <sheetFormatPr defaultRowHeight="15" x14ac:dyDescent="0.25"/>
  <cols>
    <col min="1" max="1" width="12.5703125" customWidth="1"/>
    <col min="2" max="2" width="9.85546875" customWidth="1"/>
    <col min="7" max="7" width="10" customWidth="1"/>
    <col min="10" max="10" width="9.140625" customWidth="1"/>
    <col min="12" max="12" width="23.42578125" customWidth="1"/>
    <col min="13" max="13" width="11.7109375" customWidth="1"/>
  </cols>
  <sheetData>
    <row r="1" spans="1:13" ht="15" customHeight="1" x14ac:dyDescent="0.25">
      <c r="E1" s="278" t="s">
        <v>222</v>
      </c>
      <c r="F1" s="278"/>
      <c r="G1" s="278"/>
      <c r="H1" s="278"/>
      <c r="I1" s="278"/>
      <c r="J1" s="278"/>
      <c r="L1" s="94" t="s">
        <v>223</v>
      </c>
      <c r="M1" s="95"/>
    </row>
    <row r="2" spans="1:13" ht="15" customHeight="1" x14ac:dyDescent="0.25">
      <c r="E2" s="278"/>
      <c r="F2" s="278"/>
      <c r="G2" s="278"/>
      <c r="H2" s="278"/>
      <c r="I2" s="278"/>
      <c r="J2" s="278"/>
      <c r="L2" s="96"/>
      <c r="M2" s="97"/>
    </row>
    <row r="3" spans="1:13" ht="15" customHeight="1" x14ac:dyDescent="0.25">
      <c r="E3" s="278"/>
      <c r="F3" s="278"/>
      <c r="G3" s="278"/>
      <c r="H3" s="278"/>
      <c r="I3" s="278"/>
      <c r="J3" s="278"/>
    </row>
    <row r="4" spans="1:13" ht="12" customHeight="1" x14ac:dyDescent="0.25">
      <c r="H4" s="98"/>
      <c r="I4" s="279" t="s">
        <v>224</v>
      </c>
      <c r="J4" s="280"/>
      <c r="K4" s="280"/>
      <c r="L4" s="280"/>
      <c r="M4" s="281"/>
    </row>
    <row r="5" spans="1:13" ht="12" customHeight="1" x14ac:dyDescent="0.25">
      <c r="H5" s="98"/>
      <c r="I5" s="282"/>
      <c r="J5" s="283"/>
      <c r="K5" s="283"/>
      <c r="L5" s="283"/>
      <c r="M5" s="284"/>
    </row>
    <row r="6" spans="1:13" ht="12" customHeight="1" x14ac:dyDescent="0.25">
      <c r="I6" s="285"/>
      <c r="J6" s="286"/>
      <c r="K6" s="286"/>
      <c r="L6" s="286"/>
      <c r="M6" s="287"/>
    </row>
    <row r="7" spans="1:13" ht="15.75" thickBot="1" x14ac:dyDescent="0.3">
      <c r="J7" s="99"/>
    </row>
    <row r="8" spans="1:13" ht="45.75" thickBot="1" x14ac:dyDescent="0.3">
      <c r="A8" s="100" t="s">
        <v>225</v>
      </c>
      <c r="B8" s="101" t="s">
        <v>7</v>
      </c>
      <c r="C8" s="102" t="s">
        <v>226</v>
      </c>
      <c r="D8" s="103" t="s">
        <v>227</v>
      </c>
      <c r="E8" s="103" t="s">
        <v>228</v>
      </c>
      <c r="F8" s="103" t="s">
        <v>229</v>
      </c>
      <c r="G8" s="104" t="s">
        <v>230</v>
      </c>
      <c r="H8" s="105" t="s">
        <v>231</v>
      </c>
      <c r="I8" s="106" t="s">
        <v>232</v>
      </c>
      <c r="J8" s="102" t="s">
        <v>233</v>
      </c>
      <c r="K8" s="103" t="s">
        <v>234</v>
      </c>
      <c r="L8" s="107" t="s">
        <v>235</v>
      </c>
      <c r="M8" s="106" t="s">
        <v>236</v>
      </c>
    </row>
    <row r="9" spans="1:13" x14ac:dyDescent="0.25">
      <c r="A9" s="108" t="s">
        <v>237</v>
      </c>
      <c r="B9" s="109"/>
      <c r="C9" s="8"/>
      <c r="D9" s="11"/>
      <c r="E9" s="11"/>
      <c r="F9" s="11"/>
      <c r="G9" s="110"/>
      <c r="H9" s="36"/>
      <c r="I9" s="46"/>
      <c r="J9" s="8"/>
      <c r="K9" s="11"/>
      <c r="L9" s="15"/>
      <c r="M9" s="111"/>
    </row>
    <row r="10" spans="1:13" x14ac:dyDescent="0.25">
      <c r="A10" s="108"/>
      <c r="B10" s="41"/>
      <c r="C10" s="8"/>
      <c r="D10" s="11"/>
      <c r="E10" s="11"/>
      <c r="F10" s="11"/>
      <c r="G10" s="110"/>
      <c r="H10" s="36"/>
      <c r="I10" s="46"/>
      <c r="J10" s="8"/>
      <c r="K10" s="11"/>
      <c r="L10" s="15"/>
      <c r="M10" s="112"/>
    </row>
    <row r="11" spans="1:13" x14ac:dyDescent="0.25">
      <c r="A11" s="108"/>
      <c r="B11" s="41"/>
      <c r="C11" s="10"/>
      <c r="D11" s="6"/>
      <c r="E11" s="6"/>
      <c r="F11" s="6"/>
      <c r="G11" s="113"/>
      <c r="H11" s="37"/>
      <c r="I11" s="44"/>
      <c r="J11" s="10"/>
      <c r="K11" s="6"/>
      <c r="L11" s="9"/>
      <c r="M11" s="112"/>
    </row>
    <row r="12" spans="1:13" ht="15.75" thickBot="1" x14ac:dyDescent="0.3">
      <c r="A12" s="114"/>
      <c r="B12" s="115"/>
      <c r="C12" s="27"/>
      <c r="D12" s="24"/>
      <c r="E12" s="24"/>
      <c r="F12" s="24"/>
      <c r="G12" s="116"/>
      <c r="H12" s="40"/>
      <c r="I12" s="47"/>
      <c r="J12" s="27"/>
      <c r="K12" s="24"/>
      <c r="L12" s="26"/>
      <c r="M12" s="48"/>
    </row>
    <row r="13" spans="1:13" x14ac:dyDescent="0.25">
      <c r="A13" s="108" t="s">
        <v>238</v>
      </c>
      <c r="B13" s="109"/>
      <c r="C13" s="117"/>
      <c r="D13" s="118"/>
      <c r="E13" s="118"/>
      <c r="F13" s="118"/>
      <c r="G13" s="119"/>
      <c r="H13" s="120"/>
      <c r="I13" s="43"/>
      <c r="J13" s="117"/>
      <c r="K13" s="118"/>
      <c r="L13" s="121"/>
      <c r="M13" s="112"/>
    </row>
    <row r="14" spans="1:13" x14ac:dyDescent="0.25">
      <c r="A14" s="108"/>
      <c r="B14" s="41"/>
      <c r="C14" s="8"/>
      <c r="D14" s="11"/>
      <c r="E14" s="11"/>
      <c r="F14" s="11"/>
      <c r="G14" s="110"/>
      <c r="H14" s="36"/>
      <c r="I14" s="46"/>
      <c r="J14" s="8"/>
      <c r="K14" s="11"/>
      <c r="L14" s="15"/>
      <c r="M14" s="112"/>
    </row>
    <row r="15" spans="1:13" x14ac:dyDescent="0.25">
      <c r="A15" s="108"/>
      <c r="B15" s="41"/>
      <c r="C15" s="10"/>
      <c r="D15" s="6"/>
      <c r="E15" s="6"/>
      <c r="F15" s="6"/>
      <c r="G15" s="113"/>
      <c r="H15" s="37"/>
      <c r="I15" s="44"/>
      <c r="J15" s="10"/>
      <c r="K15" s="6"/>
      <c r="L15" s="9"/>
      <c r="M15" s="112"/>
    </row>
    <row r="16" spans="1:13" ht="15.75" thickBot="1" x14ac:dyDescent="0.3">
      <c r="A16" s="114"/>
      <c r="B16" s="115"/>
      <c r="C16" s="27"/>
      <c r="D16" s="24"/>
      <c r="E16" s="24"/>
      <c r="F16" s="24"/>
      <c r="G16" s="116"/>
      <c r="H16" s="40"/>
      <c r="I16" s="47"/>
      <c r="J16" s="27"/>
      <c r="K16" s="24"/>
      <c r="L16" s="26"/>
      <c r="M16" s="112"/>
    </row>
    <row r="17" spans="1:13" x14ac:dyDescent="0.25">
      <c r="A17" s="108" t="s">
        <v>239</v>
      </c>
      <c r="B17" s="109"/>
      <c r="C17" s="117"/>
      <c r="D17" s="118"/>
      <c r="E17" s="118"/>
      <c r="F17" s="118"/>
      <c r="G17" s="119"/>
      <c r="H17" s="120"/>
      <c r="I17" s="43"/>
      <c r="J17" s="117"/>
      <c r="K17" s="118"/>
      <c r="L17" s="121"/>
      <c r="M17" s="111"/>
    </row>
    <row r="18" spans="1:13" x14ac:dyDescent="0.25">
      <c r="A18" s="108"/>
      <c r="B18" s="41"/>
      <c r="C18" s="8"/>
      <c r="D18" s="11"/>
      <c r="E18" s="11"/>
      <c r="F18" s="11"/>
      <c r="G18" s="110"/>
      <c r="H18" s="36"/>
      <c r="I18" s="46"/>
      <c r="J18" s="8"/>
      <c r="K18" s="11"/>
      <c r="L18" s="15"/>
      <c r="M18" s="112"/>
    </row>
    <row r="19" spans="1:13" x14ac:dyDescent="0.25">
      <c r="A19" s="108"/>
      <c r="B19" s="41"/>
      <c r="C19" s="10"/>
      <c r="D19" s="6"/>
      <c r="E19" s="6"/>
      <c r="F19" s="6"/>
      <c r="G19" s="113"/>
      <c r="H19" s="37"/>
      <c r="I19" s="44"/>
      <c r="J19" s="10"/>
      <c r="K19" s="6"/>
      <c r="L19" s="9"/>
      <c r="M19" s="112"/>
    </row>
    <row r="20" spans="1:13" ht="15.75" thickBot="1" x14ac:dyDescent="0.3">
      <c r="A20" s="114"/>
      <c r="B20" s="115"/>
      <c r="C20" s="27"/>
      <c r="D20" s="24"/>
      <c r="E20" s="24"/>
      <c r="F20" s="24"/>
      <c r="G20" s="116"/>
      <c r="H20" s="40"/>
      <c r="I20" s="47"/>
      <c r="J20" s="27"/>
      <c r="K20" s="24"/>
      <c r="L20" s="26"/>
      <c r="M20" s="48"/>
    </row>
    <row r="21" spans="1:13" x14ac:dyDescent="0.25">
      <c r="A21" s="108" t="s">
        <v>240</v>
      </c>
      <c r="B21" s="109"/>
      <c r="C21" s="117"/>
      <c r="D21" s="118"/>
      <c r="E21" s="118"/>
      <c r="F21" s="118"/>
      <c r="G21" s="119"/>
      <c r="H21" s="120"/>
      <c r="I21" s="43"/>
      <c r="J21" s="117"/>
      <c r="K21" s="118"/>
      <c r="L21" s="121"/>
      <c r="M21" s="112"/>
    </row>
    <row r="22" spans="1:13" x14ac:dyDescent="0.25">
      <c r="A22" s="108"/>
      <c r="B22" s="41"/>
      <c r="C22" s="8"/>
      <c r="D22" s="11"/>
      <c r="E22" s="11"/>
      <c r="F22" s="11"/>
      <c r="G22" s="110"/>
      <c r="H22" s="36"/>
      <c r="I22" s="46"/>
      <c r="J22" s="8"/>
      <c r="K22" s="11"/>
      <c r="L22" s="15"/>
      <c r="M22" s="112"/>
    </row>
    <row r="23" spans="1:13" x14ac:dyDescent="0.25">
      <c r="A23" s="108"/>
      <c r="B23" s="41"/>
      <c r="C23" s="10"/>
      <c r="D23" s="6"/>
      <c r="E23" s="6"/>
      <c r="F23" s="6"/>
      <c r="G23" s="113"/>
      <c r="H23" s="37"/>
      <c r="I23" s="44"/>
      <c r="J23" s="10"/>
      <c r="K23" s="6"/>
      <c r="L23" s="9"/>
      <c r="M23" s="112"/>
    </row>
    <row r="24" spans="1:13" ht="15.75" thickBot="1" x14ac:dyDescent="0.3">
      <c r="A24" s="114"/>
      <c r="B24" s="115"/>
      <c r="C24" s="27"/>
      <c r="D24" s="24"/>
      <c r="E24" s="24"/>
      <c r="F24" s="24"/>
      <c r="G24" s="116"/>
      <c r="H24" s="40"/>
      <c r="I24" s="47"/>
      <c r="J24" s="27"/>
      <c r="K24" s="24"/>
      <c r="L24" s="26"/>
      <c r="M24" s="48"/>
    </row>
    <row r="25" spans="1:13" x14ac:dyDescent="0.25">
      <c r="A25" s="108" t="s">
        <v>241</v>
      </c>
      <c r="B25" s="109"/>
      <c r="C25" s="117"/>
      <c r="D25" s="118"/>
      <c r="E25" s="118"/>
      <c r="F25" s="118"/>
      <c r="G25" s="119"/>
      <c r="H25" s="120"/>
      <c r="I25" s="43"/>
      <c r="J25" s="117"/>
      <c r="K25" s="118"/>
      <c r="L25" s="121"/>
      <c r="M25" s="111"/>
    </row>
    <row r="26" spans="1:13" x14ac:dyDescent="0.25">
      <c r="A26" s="108"/>
      <c r="B26" s="41"/>
      <c r="C26" s="8"/>
      <c r="D26" s="11"/>
      <c r="E26" s="11"/>
      <c r="F26" s="11"/>
      <c r="G26" s="110"/>
      <c r="H26" s="36"/>
      <c r="I26" s="46"/>
      <c r="J26" s="8"/>
      <c r="K26" s="11"/>
      <c r="L26" s="15"/>
      <c r="M26" s="112"/>
    </row>
    <row r="27" spans="1:13" x14ac:dyDescent="0.25">
      <c r="A27" s="108"/>
      <c r="B27" s="41"/>
      <c r="C27" s="10"/>
      <c r="D27" s="6"/>
      <c r="E27" s="6"/>
      <c r="F27" s="6"/>
      <c r="G27" s="113"/>
      <c r="H27" s="37"/>
      <c r="I27" s="44"/>
      <c r="J27" s="10"/>
      <c r="K27" s="6"/>
      <c r="L27" s="9"/>
      <c r="M27" s="112"/>
    </row>
    <row r="28" spans="1:13" ht="15.75" thickBot="1" x14ac:dyDescent="0.3">
      <c r="A28" s="114"/>
      <c r="B28" s="115"/>
      <c r="C28" s="27"/>
      <c r="D28" s="24"/>
      <c r="E28" s="24"/>
      <c r="F28" s="24"/>
      <c r="G28" s="116"/>
      <c r="H28" s="40"/>
      <c r="I28" s="47"/>
      <c r="J28" s="27"/>
      <c r="K28" s="24"/>
      <c r="L28" s="26"/>
      <c r="M28" s="112"/>
    </row>
    <row r="29" spans="1:13" x14ac:dyDescent="0.25">
      <c r="A29" s="122" t="s">
        <v>242</v>
      </c>
      <c r="B29" s="109"/>
      <c r="C29" s="117"/>
      <c r="D29" s="118"/>
      <c r="E29" s="118"/>
      <c r="F29" s="118"/>
      <c r="G29" s="119"/>
      <c r="H29" s="120"/>
      <c r="I29" s="43"/>
      <c r="J29" s="117"/>
      <c r="K29" s="118"/>
      <c r="L29" s="121"/>
      <c r="M29" s="111"/>
    </row>
    <row r="30" spans="1:13" ht="15.75" thickBot="1" x14ac:dyDescent="0.3">
      <c r="A30" s="114"/>
      <c r="B30" s="115"/>
      <c r="C30" s="27"/>
      <c r="D30" s="24"/>
      <c r="E30" s="24"/>
      <c r="F30" s="24"/>
      <c r="G30" s="116"/>
      <c r="H30" s="40"/>
      <c r="I30" s="47"/>
      <c r="J30" s="27"/>
      <c r="K30" s="24"/>
      <c r="L30" s="26"/>
      <c r="M30" s="48"/>
    </row>
    <row r="31" spans="1:13" x14ac:dyDescent="0.25">
      <c r="A31" s="122" t="s">
        <v>243</v>
      </c>
      <c r="B31" s="109"/>
      <c r="C31" s="117"/>
      <c r="D31" s="118"/>
      <c r="E31" s="118"/>
      <c r="F31" s="118"/>
      <c r="G31" s="119"/>
      <c r="H31" s="120"/>
      <c r="I31" s="43"/>
      <c r="J31" s="117"/>
      <c r="K31" s="118"/>
      <c r="L31" s="121"/>
      <c r="M31" s="112"/>
    </row>
    <row r="32" spans="1:13" ht="15.75" thickBot="1" x14ac:dyDescent="0.3">
      <c r="A32" s="108"/>
      <c r="B32" s="41"/>
      <c r="C32" s="7"/>
      <c r="D32" s="20"/>
      <c r="E32" s="20"/>
      <c r="F32" s="20"/>
      <c r="G32" s="123"/>
      <c r="H32" s="38"/>
      <c r="I32" s="45"/>
      <c r="J32" s="7"/>
      <c r="K32" s="20"/>
      <c r="L32" s="13"/>
      <c r="M32" s="112"/>
    </row>
    <row r="33" spans="1:13" ht="15.75" x14ac:dyDescent="0.25">
      <c r="A33" s="124" t="s">
        <v>244</v>
      </c>
      <c r="B33" s="125"/>
      <c r="C33" s="126"/>
      <c r="D33" s="127"/>
      <c r="E33" s="127"/>
      <c r="F33" s="127"/>
      <c r="G33" s="128" t="s">
        <v>245</v>
      </c>
      <c r="H33" s="129" t="s">
        <v>246</v>
      </c>
      <c r="I33" s="129" t="s">
        <v>247</v>
      </c>
      <c r="J33" s="124" t="s">
        <v>248</v>
      </c>
      <c r="K33" s="125"/>
      <c r="L33" s="125"/>
      <c r="M33" s="129" t="s">
        <v>249</v>
      </c>
    </row>
    <row r="34" spans="1:13" ht="16.5" thickBot="1" x14ac:dyDescent="0.3">
      <c r="A34" s="130"/>
      <c r="B34" s="131"/>
      <c r="C34" s="132"/>
      <c r="D34" s="133"/>
      <c r="E34" s="133"/>
      <c r="F34" s="133"/>
      <c r="G34" s="39"/>
      <c r="H34" s="48"/>
      <c r="I34" s="48"/>
      <c r="J34" s="130"/>
      <c r="K34" s="131"/>
      <c r="L34" s="131"/>
      <c r="M34" s="134"/>
    </row>
    <row r="36" spans="1:13" x14ac:dyDescent="0.25">
      <c r="A36" s="13" t="s">
        <v>250</v>
      </c>
      <c r="B36" s="14"/>
      <c r="C36" s="14"/>
      <c r="D36" s="14"/>
      <c r="E36" s="14"/>
      <c r="F36" s="14"/>
      <c r="G36" s="13" t="s">
        <v>7</v>
      </c>
      <c r="H36" s="14"/>
      <c r="I36" s="7"/>
      <c r="L36" s="135" t="s">
        <v>251</v>
      </c>
      <c r="M36" s="20"/>
    </row>
    <row r="37" spans="1:13" x14ac:dyDescent="0.25">
      <c r="A37" s="15"/>
      <c r="B37" s="16"/>
      <c r="C37" s="16"/>
      <c r="D37" s="16"/>
      <c r="E37" s="16"/>
      <c r="F37" s="16"/>
      <c r="G37" s="15"/>
      <c r="H37" s="16"/>
      <c r="I37" s="8"/>
      <c r="L37" s="25"/>
      <c r="M37" s="25"/>
    </row>
    <row r="38" spans="1:13" x14ac:dyDescent="0.25">
      <c r="A38" s="13" t="s">
        <v>252</v>
      </c>
      <c r="B38" s="14"/>
      <c r="C38" s="14"/>
      <c r="D38" s="14"/>
      <c r="E38" s="14"/>
      <c r="F38" s="14"/>
      <c r="G38" s="13" t="s">
        <v>7</v>
      </c>
      <c r="H38" s="14"/>
      <c r="I38" s="7"/>
      <c r="L38" s="25"/>
      <c r="M38" s="25"/>
    </row>
    <row r="39" spans="1:13" x14ac:dyDescent="0.25">
      <c r="A39" s="15"/>
      <c r="B39" s="16"/>
      <c r="C39" s="16"/>
      <c r="D39" s="16"/>
      <c r="E39" s="16"/>
      <c r="F39" s="16"/>
      <c r="G39" s="15"/>
      <c r="H39" s="16"/>
      <c r="I39" s="8"/>
      <c r="L39" s="11"/>
      <c r="M39" s="11"/>
    </row>
  </sheetData>
  <mergeCells count="2">
    <mergeCell ref="E1:J3"/>
    <mergeCell ref="I4:M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0E1B-CEFC-4BA3-B94F-DA44882BE31E}">
  <dimension ref="A1:N43"/>
  <sheetViews>
    <sheetView workbookViewId="0">
      <selection activeCell="L21" sqref="L21"/>
    </sheetView>
  </sheetViews>
  <sheetFormatPr defaultRowHeight="15" x14ac:dyDescent="0.25"/>
  <cols>
    <col min="1" max="1" width="3.85546875" customWidth="1"/>
    <col min="2" max="2" width="13.7109375" customWidth="1"/>
    <col min="3" max="3" width="3.85546875" customWidth="1"/>
    <col min="6" max="6" width="3.85546875" customWidth="1"/>
    <col min="8" max="8" width="3.85546875" customWidth="1"/>
    <col min="10" max="10" width="3.85546875" customWidth="1"/>
  </cols>
  <sheetData>
    <row r="1" spans="1:14" x14ac:dyDescent="0.25">
      <c r="F1" s="136" t="s">
        <v>253</v>
      </c>
      <c r="L1" t="s">
        <v>7</v>
      </c>
      <c r="M1" s="9"/>
      <c r="N1" s="10"/>
    </row>
    <row r="6" spans="1:14" x14ac:dyDescent="0.25">
      <c r="B6" s="5" t="s">
        <v>2</v>
      </c>
      <c r="C6" s="9"/>
      <c r="D6" s="12"/>
      <c r="E6" s="12"/>
      <c r="F6" s="10"/>
      <c r="J6" s="5" t="s">
        <v>1</v>
      </c>
      <c r="K6" s="9"/>
      <c r="L6" s="12"/>
      <c r="M6" s="10"/>
    </row>
    <row r="7" spans="1:14" x14ac:dyDescent="0.25">
      <c r="B7" s="5" t="s">
        <v>3</v>
      </c>
      <c r="C7" s="13"/>
      <c r="D7" s="14"/>
      <c r="E7" s="14"/>
      <c r="F7" s="7"/>
      <c r="J7" s="5" t="s">
        <v>254</v>
      </c>
      <c r="K7" s="13"/>
      <c r="L7" s="14"/>
      <c r="M7" s="7"/>
    </row>
    <row r="8" spans="1:14" x14ac:dyDescent="0.25">
      <c r="B8" s="5" t="s">
        <v>255</v>
      </c>
      <c r="C8" s="13"/>
      <c r="D8" s="14"/>
      <c r="E8" s="14"/>
      <c r="F8" s="14"/>
      <c r="G8" s="7"/>
      <c r="J8" s="5" t="s">
        <v>256</v>
      </c>
      <c r="K8" s="9"/>
      <c r="L8" s="12"/>
      <c r="M8" s="12"/>
      <c r="N8" s="10"/>
    </row>
    <row r="9" spans="1:14" x14ac:dyDescent="0.25">
      <c r="B9" s="5" t="s">
        <v>5</v>
      </c>
      <c r="C9" s="9"/>
      <c r="D9" s="12"/>
      <c r="E9" s="12"/>
      <c r="F9" s="12"/>
      <c r="G9" s="10"/>
      <c r="J9" s="5" t="s">
        <v>5</v>
      </c>
      <c r="K9" s="9"/>
      <c r="L9" s="12"/>
      <c r="M9" s="12"/>
      <c r="N9" s="10"/>
    </row>
    <row r="10" spans="1:14" x14ac:dyDescent="0.25">
      <c r="B10" s="5" t="s">
        <v>257</v>
      </c>
      <c r="C10" s="15"/>
      <c r="D10" s="16"/>
      <c r="E10" s="16"/>
      <c r="F10" s="16"/>
      <c r="G10" s="8"/>
      <c r="J10" s="5" t="s">
        <v>257</v>
      </c>
      <c r="K10" s="15"/>
      <c r="L10" s="16"/>
      <c r="M10" s="16"/>
      <c r="N10" s="8"/>
    </row>
    <row r="11" spans="1:14" x14ac:dyDescent="0.25">
      <c r="B11" s="5" t="s">
        <v>258</v>
      </c>
      <c r="C11" s="9"/>
      <c r="D11" s="12"/>
      <c r="E11" s="12"/>
      <c r="F11" s="12"/>
      <c r="G11" s="10"/>
      <c r="J11" s="5" t="s">
        <v>259</v>
      </c>
      <c r="K11" s="9"/>
      <c r="L11" s="12"/>
      <c r="M11" s="12"/>
      <c r="N11" s="10"/>
    </row>
    <row r="12" spans="1:14" x14ac:dyDescent="0.25">
      <c r="J12" s="5" t="s">
        <v>260</v>
      </c>
      <c r="K12" s="9"/>
      <c r="L12" s="12"/>
      <c r="M12" s="12"/>
      <c r="N12" s="10"/>
    </row>
    <row r="13" spans="1:14" x14ac:dyDescent="0.25">
      <c r="A13" t="s">
        <v>261</v>
      </c>
      <c r="E13" s="137" t="s">
        <v>262</v>
      </c>
      <c r="G13" s="137"/>
    </row>
    <row r="14" spans="1:14" x14ac:dyDescent="0.25">
      <c r="F14" s="137"/>
      <c r="G14" s="137"/>
    </row>
    <row r="15" spans="1:14" x14ac:dyDescent="0.25">
      <c r="A15" s="288" t="s">
        <v>263</v>
      </c>
      <c r="B15" s="289"/>
      <c r="C15" s="289"/>
      <c r="D15" s="290"/>
      <c r="F15" s="291" t="s">
        <v>264</v>
      </c>
      <c r="G15" s="291"/>
      <c r="H15" s="291"/>
      <c r="I15" s="291"/>
    </row>
    <row r="16" spans="1:14" x14ac:dyDescent="0.25">
      <c r="A16" s="11"/>
      <c r="B16" t="s">
        <v>265</v>
      </c>
      <c r="C16" s="11"/>
      <c r="D16" t="s">
        <v>266</v>
      </c>
      <c r="F16" s="11"/>
      <c r="G16" t="s">
        <v>267</v>
      </c>
      <c r="H16" s="11"/>
      <c r="I16" t="s">
        <v>268</v>
      </c>
    </row>
    <row r="17" spans="1:9" x14ac:dyDescent="0.25">
      <c r="A17" s="6"/>
      <c r="B17" t="s">
        <v>269</v>
      </c>
      <c r="C17" s="6"/>
      <c r="D17" t="s">
        <v>270</v>
      </c>
      <c r="F17" s="6"/>
      <c r="G17" t="s">
        <v>271</v>
      </c>
      <c r="H17" s="6"/>
      <c r="I17" t="s">
        <v>272</v>
      </c>
    </row>
    <row r="18" spans="1:9" x14ac:dyDescent="0.25">
      <c r="C18" s="6"/>
      <c r="D18" t="s">
        <v>273</v>
      </c>
      <c r="F18" s="6"/>
      <c r="G18" t="s">
        <v>274</v>
      </c>
      <c r="H18" s="6"/>
      <c r="I18" t="s">
        <v>275</v>
      </c>
    </row>
    <row r="19" spans="1:9" x14ac:dyDescent="0.25">
      <c r="C19" s="6"/>
      <c r="D19" t="s">
        <v>275</v>
      </c>
    </row>
    <row r="20" spans="1:9" x14ac:dyDescent="0.25">
      <c r="A20" s="288" t="s">
        <v>276</v>
      </c>
      <c r="B20" s="289"/>
      <c r="C20" s="289"/>
      <c r="D20" s="290"/>
    </row>
    <row r="21" spans="1:9" x14ac:dyDescent="0.25">
      <c r="A21" s="11"/>
      <c r="B21" t="s">
        <v>277</v>
      </c>
      <c r="C21" s="6"/>
      <c r="D21" t="s">
        <v>278</v>
      </c>
    </row>
    <row r="22" spans="1:9" x14ac:dyDescent="0.25">
      <c r="A22" s="6"/>
      <c r="B22" t="s">
        <v>279</v>
      </c>
      <c r="C22" s="6"/>
      <c r="D22" t="s">
        <v>280</v>
      </c>
    </row>
    <row r="25" spans="1:9" x14ac:dyDescent="0.25">
      <c r="A25" s="288" t="s">
        <v>281</v>
      </c>
      <c r="B25" s="289"/>
      <c r="C25" s="289"/>
      <c r="D25" s="289"/>
      <c r="E25" s="289"/>
      <c r="F25" s="290"/>
    </row>
    <row r="26" spans="1:9" x14ac:dyDescent="0.25">
      <c r="A26" s="11"/>
      <c r="B26" t="s">
        <v>15</v>
      </c>
      <c r="D26" t="s">
        <v>282</v>
      </c>
      <c r="E26" s="15"/>
      <c r="F26" s="8"/>
    </row>
    <row r="27" spans="1:9" x14ac:dyDescent="0.25">
      <c r="A27" s="6"/>
      <c r="B27" t="s">
        <v>283</v>
      </c>
    </row>
    <row r="28" spans="1:9" x14ac:dyDescent="0.25">
      <c r="A28" s="6"/>
      <c r="B28" t="s">
        <v>284</v>
      </c>
    </row>
    <row r="30" spans="1:9" x14ac:dyDescent="0.25">
      <c r="A30" s="138" t="s">
        <v>285</v>
      </c>
      <c r="B30" s="12"/>
      <c r="C30" s="139" t="s">
        <v>286</v>
      </c>
      <c r="D30" s="12"/>
      <c r="E30" s="12"/>
      <c r="F30" s="10"/>
    </row>
    <row r="31" spans="1:9" x14ac:dyDescent="0.25">
      <c r="A31" s="11"/>
      <c r="B31" t="s">
        <v>287</v>
      </c>
      <c r="C31" s="11"/>
      <c r="D31" t="s">
        <v>288</v>
      </c>
      <c r="F31" s="11"/>
    </row>
    <row r="32" spans="1:9" x14ac:dyDescent="0.25">
      <c r="A32" s="6"/>
      <c r="B32" t="s">
        <v>289</v>
      </c>
      <c r="C32" s="6"/>
      <c r="D32" t="s">
        <v>290</v>
      </c>
    </row>
    <row r="33" spans="1:6" x14ac:dyDescent="0.25">
      <c r="A33" s="6"/>
      <c r="B33" t="s">
        <v>291</v>
      </c>
      <c r="C33" s="6"/>
      <c r="D33" t="s">
        <v>292</v>
      </c>
    </row>
    <row r="34" spans="1:6" x14ac:dyDescent="0.25">
      <c r="A34" s="6"/>
      <c r="B34" t="s">
        <v>293</v>
      </c>
    </row>
    <row r="35" spans="1:6" x14ac:dyDescent="0.25">
      <c r="A35" s="6"/>
      <c r="B35" t="s">
        <v>294</v>
      </c>
    </row>
    <row r="36" spans="1:6" x14ac:dyDescent="0.25">
      <c r="A36" s="6"/>
      <c r="B36" t="s">
        <v>295</v>
      </c>
    </row>
    <row r="37" spans="1:6" x14ac:dyDescent="0.25">
      <c r="A37" s="6"/>
      <c r="B37" t="s">
        <v>296</v>
      </c>
      <c r="C37" s="6"/>
      <c r="D37" t="s">
        <v>297</v>
      </c>
    </row>
    <row r="38" spans="1:6" x14ac:dyDescent="0.25">
      <c r="C38" s="6"/>
      <c r="D38" t="s">
        <v>298</v>
      </c>
    </row>
    <row r="40" spans="1:6" x14ac:dyDescent="0.25">
      <c r="A40" s="288" t="s">
        <v>299</v>
      </c>
      <c r="B40" s="289"/>
      <c r="C40" s="289"/>
      <c r="D40" s="289"/>
      <c r="E40" s="12"/>
      <c r="F40" s="10"/>
    </row>
    <row r="41" spans="1:6" x14ac:dyDescent="0.25">
      <c r="A41" s="11"/>
      <c r="B41" t="s">
        <v>300</v>
      </c>
      <c r="C41" s="11"/>
      <c r="D41" t="s">
        <v>301</v>
      </c>
    </row>
    <row r="42" spans="1:6" x14ac:dyDescent="0.25">
      <c r="A42" s="6"/>
      <c r="B42" t="s">
        <v>302</v>
      </c>
      <c r="C42" s="6"/>
      <c r="D42" t="s">
        <v>303</v>
      </c>
    </row>
    <row r="43" spans="1:6" x14ac:dyDescent="0.25">
      <c r="A43" s="6"/>
      <c r="B43" t="s">
        <v>271</v>
      </c>
    </row>
  </sheetData>
  <mergeCells count="5">
    <mergeCell ref="A15:D15"/>
    <mergeCell ref="F15:I15"/>
    <mergeCell ref="A20:D20"/>
    <mergeCell ref="A25:F25"/>
    <mergeCell ref="A40:D4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3AACA-7F7F-471D-8FD3-E05E4303893F}">
  <dimension ref="A1:AD1094"/>
  <sheetViews>
    <sheetView workbookViewId="0"/>
  </sheetViews>
  <sheetFormatPr defaultRowHeight="15" x14ac:dyDescent="0.25"/>
  <cols>
    <col min="2" max="2" width="24.28515625" customWidth="1"/>
    <col min="4" max="4" width="27.140625" customWidth="1"/>
    <col min="5" max="5" width="35.140625" customWidth="1"/>
  </cols>
  <sheetData>
    <row r="1" spans="2:30" x14ac:dyDescent="0.25">
      <c r="C1" t="s">
        <v>1032</v>
      </c>
      <c r="D1" t="s">
        <v>1019</v>
      </c>
      <c r="E1" t="s">
        <v>1020</v>
      </c>
      <c r="F1" t="s">
        <v>1021</v>
      </c>
      <c r="G1" t="s">
        <v>1022</v>
      </c>
      <c r="H1" t="s">
        <v>1023</v>
      </c>
      <c r="I1" t="s">
        <v>1024</v>
      </c>
      <c r="J1" t="s">
        <v>1025</v>
      </c>
      <c r="K1" t="s">
        <v>1026</v>
      </c>
      <c r="L1" t="s">
        <v>1027</v>
      </c>
      <c r="M1" t="s">
        <v>1028</v>
      </c>
      <c r="N1" t="s">
        <v>1029</v>
      </c>
      <c r="O1" t="s">
        <v>1030</v>
      </c>
      <c r="P1" t="s">
        <v>1031</v>
      </c>
      <c r="Q1" s="214" t="s">
        <v>1018</v>
      </c>
      <c r="R1" t="s">
        <v>1033</v>
      </c>
      <c r="S1" t="s">
        <v>1034</v>
      </c>
      <c r="T1" t="s">
        <v>1035</v>
      </c>
      <c r="U1" t="s">
        <v>1036</v>
      </c>
      <c r="V1" t="s">
        <v>1037</v>
      </c>
      <c r="W1" t="s">
        <v>1038</v>
      </c>
      <c r="X1" t="s">
        <v>1039</v>
      </c>
      <c r="Y1" t="s">
        <v>1040</v>
      </c>
      <c r="Z1" t="s">
        <v>1041</v>
      </c>
      <c r="AA1" t="s">
        <v>1042</v>
      </c>
      <c r="AB1" t="s">
        <v>1043</v>
      </c>
      <c r="AC1" t="s">
        <v>1044</v>
      </c>
      <c r="AD1" t="s">
        <v>1045</v>
      </c>
    </row>
    <row r="3" spans="2:30" x14ac:dyDescent="0.25">
      <c r="B3" t="s">
        <v>1213</v>
      </c>
      <c r="C3">
        <v>81250</v>
      </c>
      <c r="D3" t="s">
        <v>1213</v>
      </c>
      <c r="E3" t="s">
        <v>1213</v>
      </c>
      <c r="F3" t="s">
        <v>1047</v>
      </c>
      <c r="G3" t="s">
        <v>1047</v>
      </c>
      <c r="H3">
        <v>1</v>
      </c>
      <c r="I3">
        <v>1</v>
      </c>
      <c r="J3" t="s">
        <v>1146</v>
      </c>
      <c r="O3" t="s">
        <v>29</v>
      </c>
      <c r="P3">
        <v>51</v>
      </c>
    </row>
    <row r="4" spans="2:30" x14ac:dyDescent="0.25">
      <c r="B4" t="s">
        <v>1214</v>
      </c>
      <c r="C4">
        <v>81260</v>
      </c>
      <c r="D4" t="s">
        <v>1214</v>
      </c>
      <c r="E4" t="s">
        <v>1214</v>
      </c>
      <c r="F4" t="s">
        <v>1047</v>
      </c>
      <c r="G4" t="s">
        <v>1047</v>
      </c>
      <c r="H4">
        <v>1</v>
      </c>
      <c r="I4">
        <v>1</v>
      </c>
      <c r="J4" t="s">
        <v>1146</v>
      </c>
      <c r="O4" t="s">
        <v>29</v>
      </c>
      <c r="P4">
        <v>85</v>
      </c>
    </row>
    <row r="5" spans="2:30" x14ac:dyDescent="0.25">
      <c r="B5" t="s">
        <v>1215</v>
      </c>
      <c r="C5">
        <v>81270</v>
      </c>
      <c r="D5" t="s">
        <v>1215</v>
      </c>
      <c r="E5" t="s">
        <v>1215</v>
      </c>
      <c r="F5" t="s">
        <v>1047</v>
      </c>
      <c r="G5" t="s">
        <v>1047</v>
      </c>
      <c r="H5">
        <v>1</v>
      </c>
      <c r="I5">
        <v>1</v>
      </c>
      <c r="J5" t="s">
        <v>1146</v>
      </c>
      <c r="O5" t="s">
        <v>29</v>
      </c>
      <c r="P5">
        <v>79</v>
      </c>
    </row>
    <row r="6" spans="2:30" x14ac:dyDescent="0.25">
      <c r="B6" t="s">
        <v>1216</v>
      </c>
      <c r="C6">
        <v>81280</v>
      </c>
      <c r="D6" t="s">
        <v>1216</v>
      </c>
      <c r="E6" t="s">
        <v>1216</v>
      </c>
      <c r="F6" t="s">
        <v>1047</v>
      </c>
      <c r="G6" t="s">
        <v>1047</v>
      </c>
      <c r="H6">
        <v>1</v>
      </c>
      <c r="I6">
        <v>1</v>
      </c>
      <c r="J6" t="s">
        <v>1146</v>
      </c>
      <c r="O6" t="s">
        <v>29</v>
      </c>
      <c r="P6">
        <v>147</v>
      </c>
    </row>
    <row r="7" spans="2:30" x14ac:dyDescent="0.25">
      <c r="B7" t="s">
        <v>1152</v>
      </c>
      <c r="C7">
        <v>81430</v>
      </c>
      <c r="D7" t="s">
        <v>1152</v>
      </c>
      <c r="E7" t="s">
        <v>1152</v>
      </c>
      <c r="F7" t="s">
        <v>1047</v>
      </c>
      <c r="G7" t="s">
        <v>1047</v>
      </c>
      <c r="H7">
        <v>1</v>
      </c>
      <c r="I7">
        <v>1</v>
      </c>
      <c r="J7" t="s">
        <v>1146</v>
      </c>
      <c r="O7" t="s">
        <v>29</v>
      </c>
      <c r="P7">
        <v>409</v>
      </c>
    </row>
    <row r="8" spans="2:30" x14ac:dyDescent="0.25">
      <c r="B8" t="s">
        <v>1153</v>
      </c>
      <c r="C8">
        <v>81460</v>
      </c>
      <c r="D8" t="s">
        <v>1153</v>
      </c>
      <c r="E8" t="s">
        <v>1153</v>
      </c>
      <c r="F8" t="s">
        <v>1047</v>
      </c>
      <c r="G8" t="s">
        <v>1047</v>
      </c>
      <c r="H8">
        <v>1</v>
      </c>
      <c r="I8">
        <v>1</v>
      </c>
      <c r="J8" t="s">
        <v>1146</v>
      </c>
      <c r="O8" t="s">
        <v>29</v>
      </c>
      <c r="P8">
        <v>437</v>
      </c>
    </row>
    <row r="9" spans="2:30" x14ac:dyDescent="0.25">
      <c r="B9" t="s">
        <v>1154</v>
      </c>
      <c r="C9">
        <v>81470</v>
      </c>
      <c r="D9" t="s">
        <v>1154</v>
      </c>
      <c r="E9" t="s">
        <v>1154</v>
      </c>
      <c r="F9" t="s">
        <v>1047</v>
      </c>
      <c r="G9" t="s">
        <v>1047</v>
      </c>
      <c r="H9">
        <v>1</v>
      </c>
      <c r="I9">
        <v>1</v>
      </c>
      <c r="J9" t="s">
        <v>1146</v>
      </c>
      <c r="O9" t="s">
        <v>29</v>
      </c>
      <c r="P9">
        <v>461</v>
      </c>
    </row>
    <row r="10" spans="2:30" x14ac:dyDescent="0.25">
      <c r="B10" t="s">
        <v>1161</v>
      </c>
      <c r="C10">
        <v>81600</v>
      </c>
      <c r="D10" t="s">
        <v>1161</v>
      </c>
      <c r="E10" t="s">
        <v>1161</v>
      </c>
      <c r="F10" t="s">
        <v>1047</v>
      </c>
      <c r="G10" t="s">
        <v>1047</v>
      </c>
      <c r="H10">
        <v>1</v>
      </c>
      <c r="I10">
        <v>1</v>
      </c>
      <c r="J10" t="s">
        <v>1146</v>
      </c>
      <c r="O10" t="s">
        <v>29</v>
      </c>
      <c r="P10">
        <v>515</v>
      </c>
    </row>
    <row r="11" spans="2:30" x14ac:dyDescent="0.25">
      <c r="B11" t="s">
        <v>1162</v>
      </c>
      <c r="C11">
        <v>81610</v>
      </c>
      <c r="D11" t="s">
        <v>1162</v>
      </c>
      <c r="E11" t="s">
        <v>1162</v>
      </c>
      <c r="F11" t="s">
        <v>1047</v>
      </c>
      <c r="G11" t="s">
        <v>1047</v>
      </c>
      <c r="H11">
        <v>1</v>
      </c>
      <c r="I11">
        <v>1</v>
      </c>
      <c r="J11" t="s">
        <v>1146</v>
      </c>
      <c r="O11" t="s">
        <v>29</v>
      </c>
      <c r="P11">
        <v>515</v>
      </c>
    </row>
    <row r="12" spans="2:30" x14ac:dyDescent="0.25">
      <c r="B12" t="s">
        <v>1163</v>
      </c>
      <c r="C12">
        <v>81620</v>
      </c>
      <c r="D12" t="s">
        <v>1163</v>
      </c>
      <c r="E12" t="s">
        <v>1163</v>
      </c>
      <c r="F12" t="s">
        <v>1047</v>
      </c>
      <c r="G12" t="s">
        <v>1047</v>
      </c>
      <c r="H12">
        <v>1</v>
      </c>
      <c r="I12">
        <v>1</v>
      </c>
      <c r="J12" t="s">
        <v>1146</v>
      </c>
      <c r="O12" t="s">
        <v>29</v>
      </c>
      <c r="P12">
        <v>528</v>
      </c>
    </row>
    <row r="13" spans="2:30" x14ac:dyDescent="0.25">
      <c r="B13" t="s">
        <v>1164</v>
      </c>
      <c r="C13">
        <v>81630</v>
      </c>
      <c r="D13" t="s">
        <v>1164</v>
      </c>
      <c r="E13" t="s">
        <v>1164</v>
      </c>
      <c r="F13" t="s">
        <v>1047</v>
      </c>
      <c r="G13" t="s">
        <v>1047</v>
      </c>
      <c r="H13">
        <v>1</v>
      </c>
      <c r="I13">
        <v>1</v>
      </c>
      <c r="J13" t="s">
        <v>1146</v>
      </c>
      <c r="O13" t="s">
        <v>29</v>
      </c>
      <c r="P13">
        <v>541</v>
      </c>
    </row>
    <row r="14" spans="2:30" x14ac:dyDescent="0.25">
      <c r="B14" t="s">
        <v>1165</v>
      </c>
      <c r="C14">
        <v>81640</v>
      </c>
      <c r="D14" t="s">
        <v>1165</v>
      </c>
      <c r="E14" t="s">
        <v>1165</v>
      </c>
      <c r="F14" t="s">
        <v>1047</v>
      </c>
      <c r="G14" t="s">
        <v>1047</v>
      </c>
      <c r="H14">
        <v>1</v>
      </c>
      <c r="I14">
        <v>1</v>
      </c>
      <c r="J14" t="s">
        <v>1146</v>
      </c>
      <c r="O14" t="s">
        <v>29</v>
      </c>
      <c r="P14">
        <v>554</v>
      </c>
    </row>
    <row r="15" spans="2:30" x14ac:dyDescent="0.25">
      <c r="B15" t="s">
        <v>1166</v>
      </c>
      <c r="C15">
        <v>81650</v>
      </c>
      <c r="D15" t="s">
        <v>1166</v>
      </c>
      <c r="E15" t="s">
        <v>1166</v>
      </c>
      <c r="F15" t="s">
        <v>1047</v>
      </c>
      <c r="G15" t="s">
        <v>1047</v>
      </c>
      <c r="H15">
        <v>1</v>
      </c>
      <c r="I15">
        <v>1</v>
      </c>
      <c r="J15" t="s">
        <v>1146</v>
      </c>
      <c r="O15" t="s">
        <v>29</v>
      </c>
      <c r="P15">
        <v>591</v>
      </c>
    </row>
    <row r="16" spans="2:30" x14ac:dyDescent="0.25">
      <c r="B16" t="s">
        <v>1167</v>
      </c>
      <c r="C16">
        <v>81660</v>
      </c>
      <c r="D16" t="s">
        <v>1167</v>
      </c>
      <c r="E16" t="s">
        <v>1167</v>
      </c>
      <c r="F16" t="s">
        <v>1047</v>
      </c>
      <c r="G16" t="s">
        <v>1047</v>
      </c>
      <c r="H16">
        <v>1</v>
      </c>
      <c r="I16">
        <v>1</v>
      </c>
      <c r="J16" t="s">
        <v>1146</v>
      </c>
      <c r="O16" t="s">
        <v>29</v>
      </c>
      <c r="P16">
        <v>692</v>
      </c>
    </row>
    <row r="17" spans="2:16" x14ac:dyDescent="0.25">
      <c r="B17" t="s">
        <v>1168</v>
      </c>
      <c r="C17">
        <v>81670</v>
      </c>
      <c r="D17" t="s">
        <v>1168</v>
      </c>
      <c r="E17" t="s">
        <v>1168</v>
      </c>
      <c r="F17" t="s">
        <v>1047</v>
      </c>
      <c r="G17" t="s">
        <v>1047</v>
      </c>
      <c r="H17">
        <v>1</v>
      </c>
      <c r="I17">
        <v>1</v>
      </c>
      <c r="J17" t="s">
        <v>1146</v>
      </c>
      <c r="O17" t="s">
        <v>29</v>
      </c>
      <c r="P17">
        <v>716</v>
      </c>
    </row>
    <row r="18" spans="2:16" x14ac:dyDescent="0.25">
      <c r="B18" t="s">
        <v>1169</v>
      </c>
      <c r="C18">
        <v>81680</v>
      </c>
      <c r="D18" t="s">
        <v>1169</v>
      </c>
      <c r="E18" t="s">
        <v>1169</v>
      </c>
      <c r="F18" t="s">
        <v>1047</v>
      </c>
      <c r="G18" t="s">
        <v>1047</v>
      </c>
      <c r="H18">
        <v>1</v>
      </c>
      <c r="I18">
        <v>1</v>
      </c>
      <c r="J18" t="s">
        <v>1146</v>
      </c>
      <c r="O18" t="s">
        <v>29</v>
      </c>
      <c r="P18">
        <v>547</v>
      </c>
    </row>
    <row r="19" spans="2:16" x14ac:dyDescent="0.25">
      <c r="B19" t="s">
        <v>1170</v>
      </c>
      <c r="C19">
        <v>81681</v>
      </c>
      <c r="D19" t="s">
        <v>1170</v>
      </c>
      <c r="E19" t="s">
        <v>1170</v>
      </c>
      <c r="F19" t="s">
        <v>1047</v>
      </c>
      <c r="G19" t="s">
        <v>1047</v>
      </c>
      <c r="H19">
        <v>1</v>
      </c>
      <c r="I19">
        <v>1</v>
      </c>
      <c r="J19" t="s">
        <v>1146</v>
      </c>
      <c r="O19" t="s">
        <v>29</v>
      </c>
      <c r="P19">
        <v>547</v>
      </c>
    </row>
    <row r="20" spans="2:16" x14ac:dyDescent="0.25">
      <c r="B20" t="s">
        <v>1171</v>
      </c>
      <c r="C20">
        <v>81682</v>
      </c>
      <c r="D20" t="s">
        <v>1171</v>
      </c>
      <c r="E20" t="s">
        <v>1171</v>
      </c>
      <c r="F20" t="s">
        <v>1047</v>
      </c>
      <c r="G20" t="s">
        <v>1047</v>
      </c>
      <c r="H20">
        <v>1</v>
      </c>
      <c r="I20">
        <v>1</v>
      </c>
      <c r="J20" t="s">
        <v>1146</v>
      </c>
      <c r="O20" t="s">
        <v>29</v>
      </c>
      <c r="P20">
        <v>560</v>
      </c>
    </row>
    <row r="21" spans="2:16" x14ac:dyDescent="0.25">
      <c r="B21" t="s">
        <v>1172</v>
      </c>
      <c r="C21">
        <v>81683</v>
      </c>
      <c r="D21" t="s">
        <v>1172</v>
      </c>
      <c r="E21" t="s">
        <v>1172</v>
      </c>
      <c r="F21" t="s">
        <v>1047</v>
      </c>
      <c r="G21" t="s">
        <v>1047</v>
      </c>
      <c r="H21">
        <v>1</v>
      </c>
      <c r="I21">
        <v>1</v>
      </c>
      <c r="J21" t="s">
        <v>1146</v>
      </c>
      <c r="O21" t="s">
        <v>29</v>
      </c>
      <c r="P21">
        <v>574</v>
      </c>
    </row>
    <row r="22" spans="2:16" x14ac:dyDescent="0.25">
      <c r="B22" t="s">
        <v>1173</v>
      </c>
      <c r="C22">
        <v>81684</v>
      </c>
      <c r="D22" t="s">
        <v>1173</v>
      </c>
      <c r="E22" t="s">
        <v>1173</v>
      </c>
      <c r="F22" t="s">
        <v>1047</v>
      </c>
      <c r="G22" t="s">
        <v>1047</v>
      </c>
      <c r="H22">
        <v>1</v>
      </c>
      <c r="I22">
        <v>1</v>
      </c>
      <c r="J22" t="s">
        <v>1146</v>
      </c>
      <c r="O22" t="s">
        <v>29</v>
      </c>
      <c r="P22">
        <v>587</v>
      </c>
    </row>
    <row r="23" spans="2:16" x14ac:dyDescent="0.25">
      <c r="B23" t="s">
        <v>1174</v>
      </c>
      <c r="C23">
        <v>81685</v>
      </c>
      <c r="D23" t="s">
        <v>1174</v>
      </c>
      <c r="E23" t="s">
        <v>1174</v>
      </c>
      <c r="F23" t="s">
        <v>1047</v>
      </c>
      <c r="G23" t="s">
        <v>1047</v>
      </c>
      <c r="H23">
        <v>1</v>
      </c>
      <c r="I23">
        <v>1</v>
      </c>
      <c r="J23" t="s">
        <v>1146</v>
      </c>
      <c r="O23" t="s">
        <v>29</v>
      </c>
      <c r="P23">
        <v>627</v>
      </c>
    </row>
    <row r="24" spans="2:16" x14ac:dyDescent="0.25">
      <c r="B24" t="s">
        <v>1175</v>
      </c>
      <c r="C24">
        <v>81686</v>
      </c>
      <c r="D24" t="s">
        <v>1175</v>
      </c>
      <c r="E24" t="s">
        <v>1175</v>
      </c>
      <c r="F24" t="s">
        <v>1047</v>
      </c>
      <c r="G24" t="s">
        <v>1047</v>
      </c>
      <c r="H24">
        <v>1</v>
      </c>
      <c r="I24">
        <v>1</v>
      </c>
      <c r="J24" t="s">
        <v>1146</v>
      </c>
      <c r="O24" t="s">
        <v>29</v>
      </c>
      <c r="P24">
        <v>733</v>
      </c>
    </row>
    <row r="25" spans="2:16" x14ac:dyDescent="0.25">
      <c r="B25" t="s">
        <v>1155</v>
      </c>
      <c r="C25">
        <v>81690</v>
      </c>
      <c r="D25" t="s">
        <v>1155</v>
      </c>
      <c r="E25" t="s">
        <v>1155</v>
      </c>
      <c r="F25" t="s">
        <v>1047</v>
      </c>
      <c r="G25" t="s">
        <v>1047</v>
      </c>
      <c r="H25">
        <v>1</v>
      </c>
      <c r="I25">
        <v>1</v>
      </c>
      <c r="J25" t="s">
        <v>1146</v>
      </c>
      <c r="O25" t="s">
        <v>29</v>
      </c>
      <c r="P25">
        <v>421</v>
      </c>
    </row>
    <row r="26" spans="2:16" x14ac:dyDescent="0.25">
      <c r="B26" t="s">
        <v>1156</v>
      </c>
      <c r="C26">
        <v>81691</v>
      </c>
      <c r="D26" t="s">
        <v>1156</v>
      </c>
      <c r="E26" t="s">
        <v>1156</v>
      </c>
      <c r="F26" t="s">
        <v>1047</v>
      </c>
      <c r="G26" t="s">
        <v>1047</v>
      </c>
      <c r="H26">
        <v>1</v>
      </c>
      <c r="I26">
        <v>1</v>
      </c>
      <c r="J26" t="s">
        <v>1146</v>
      </c>
      <c r="O26" t="s">
        <v>29</v>
      </c>
      <c r="P26">
        <v>421</v>
      </c>
    </row>
    <row r="27" spans="2:16" x14ac:dyDescent="0.25">
      <c r="B27" t="s">
        <v>1157</v>
      </c>
      <c r="C27">
        <v>81692</v>
      </c>
      <c r="D27" t="s">
        <v>1157</v>
      </c>
      <c r="E27" t="s">
        <v>1157</v>
      </c>
      <c r="F27" t="s">
        <v>1047</v>
      </c>
      <c r="G27" t="s">
        <v>1047</v>
      </c>
      <c r="H27">
        <v>1</v>
      </c>
      <c r="I27">
        <v>1</v>
      </c>
      <c r="J27" t="s">
        <v>1146</v>
      </c>
      <c r="O27" t="s">
        <v>29</v>
      </c>
      <c r="P27">
        <v>433</v>
      </c>
    </row>
    <row r="28" spans="2:16" x14ac:dyDescent="0.25">
      <c r="B28" t="s">
        <v>1158</v>
      </c>
      <c r="C28">
        <v>81693</v>
      </c>
      <c r="D28" t="s">
        <v>1158</v>
      </c>
      <c r="E28" t="s">
        <v>1158</v>
      </c>
      <c r="F28" t="s">
        <v>1047</v>
      </c>
      <c r="G28" t="s">
        <v>1047</v>
      </c>
      <c r="H28">
        <v>1</v>
      </c>
      <c r="I28">
        <v>1</v>
      </c>
      <c r="J28" t="s">
        <v>1146</v>
      </c>
      <c r="O28" t="s">
        <v>29</v>
      </c>
      <c r="P28">
        <v>442</v>
      </c>
    </row>
    <row r="29" spans="2:16" x14ac:dyDescent="0.25">
      <c r="B29" t="s">
        <v>1159</v>
      </c>
      <c r="C29">
        <v>81694</v>
      </c>
      <c r="D29" t="s">
        <v>1159</v>
      </c>
      <c r="E29" t="s">
        <v>1159</v>
      </c>
      <c r="F29" t="s">
        <v>1047</v>
      </c>
      <c r="G29" t="s">
        <v>1047</v>
      </c>
      <c r="H29">
        <v>1</v>
      </c>
      <c r="I29">
        <v>1</v>
      </c>
      <c r="J29" t="s">
        <v>1146</v>
      </c>
      <c r="O29" t="s">
        <v>29</v>
      </c>
      <c r="P29">
        <v>488</v>
      </c>
    </row>
    <row r="30" spans="2:16" x14ac:dyDescent="0.25">
      <c r="B30" t="s">
        <v>1160</v>
      </c>
      <c r="C30">
        <v>81695</v>
      </c>
      <c r="D30" t="s">
        <v>1160</v>
      </c>
      <c r="E30" t="s">
        <v>1160</v>
      </c>
      <c r="F30" t="s">
        <v>1047</v>
      </c>
      <c r="G30" t="s">
        <v>1047</v>
      </c>
      <c r="H30">
        <v>1</v>
      </c>
      <c r="I30">
        <v>1</v>
      </c>
      <c r="J30" t="s">
        <v>1146</v>
      </c>
      <c r="O30" t="s">
        <v>29</v>
      </c>
      <c r="P30">
        <v>508</v>
      </c>
    </row>
    <row r="31" spans="2:16" x14ac:dyDescent="0.25">
      <c r="B31" t="s">
        <v>1195</v>
      </c>
      <c r="C31">
        <v>81700</v>
      </c>
      <c r="D31" t="s">
        <v>1195</v>
      </c>
      <c r="E31" t="s">
        <v>1195</v>
      </c>
      <c r="F31" t="s">
        <v>1047</v>
      </c>
      <c r="G31" t="s">
        <v>1047</v>
      </c>
      <c r="H31">
        <v>1</v>
      </c>
      <c r="I31">
        <v>1</v>
      </c>
      <c r="J31" t="s">
        <v>1146</v>
      </c>
      <c r="O31" t="s">
        <v>29</v>
      </c>
      <c r="P31">
        <v>169</v>
      </c>
    </row>
    <row r="32" spans="2:16" x14ac:dyDescent="0.25">
      <c r="B32" t="s">
        <v>1196</v>
      </c>
      <c r="C32">
        <v>81702</v>
      </c>
      <c r="D32" t="s">
        <v>1196</v>
      </c>
      <c r="E32" t="s">
        <v>1196</v>
      </c>
      <c r="F32" t="s">
        <v>1047</v>
      </c>
      <c r="G32" t="s">
        <v>1047</v>
      </c>
      <c r="H32">
        <v>1</v>
      </c>
      <c r="I32">
        <v>1</v>
      </c>
      <c r="J32" t="s">
        <v>1146</v>
      </c>
      <c r="O32" t="s">
        <v>29</v>
      </c>
      <c r="P32">
        <v>169</v>
      </c>
    </row>
    <row r="33" spans="2:16" x14ac:dyDescent="0.25">
      <c r="B33" t="s">
        <v>1197</v>
      </c>
      <c r="C33">
        <v>81704</v>
      </c>
      <c r="D33" t="s">
        <v>1197</v>
      </c>
      <c r="E33" t="s">
        <v>1197</v>
      </c>
      <c r="F33" t="s">
        <v>1047</v>
      </c>
      <c r="G33" t="s">
        <v>1047</v>
      </c>
      <c r="H33">
        <v>1</v>
      </c>
      <c r="I33">
        <v>1</v>
      </c>
      <c r="J33" t="s">
        <v>1146</v>
      </c>
      <c r="O33" t="s">
        <v>29</v>
      </c>
      <c r="P33">
        <v>211</v>
      </c>
    </row>
    <row r="34" spans="2:16" x14ac:dyDescent="0.25">
      <c r="B34" t="s">
        <v>1198</v>
      </c>
      <c r="C34">
        <v>81706</v>
      </c>
      <c r="D34" t="s">
        <v>1198</v>
      </c>
      <c r="E34" t="s">
        <v>1198</v>
      </c>
      <c r="F34" t="s">
        <v>1047</v>
      </c>
      <c r="G34" t="s">
        <v>1047</v>
      </c>
      <c r="H34">
        <v>1</v>
      </c>
      <c r="I34">
        <v>1</v>
      </c>
      <c r="J34" t="s">
        <v>1146</v>
      </c>
      <c r="O34" t="s">
        <v>29</v>
      </c>
      <c r="P34">
        <v>189</v>
      </c>
    </row>
    <row r="35" spans="2:16" x14ac:dyDescent="0.25">
      <c r="B35" t="s">
        <v>1199</v>
      </c>
      <c r="C35">
        <v>81708</v>
      </c>
      <c r="D35" t="s">
        <v>1199</v>
      </c>
      <c r="E35" t="s">
        <v>1199</v>
      </c>
      <c r="F35" t="s">
        <v>1047</v>
      </c>
      <c r="G35" t="s">
        <v>1047</v>
      </c>
      <c r="H35">
        <v>1</v>
      </c>
      <c r="I35">
        <v>1</v>
      </c>
      <c r="J35" t="s">
        <v>1146</v>
      </c>
      <c r="O35" t="s">
        <v>29</v>
      </c>
      <c r="P35">
        <v>221</v>
      </c>
    </row>
    <row r="36" spans="2:16" x14ac:dyDescent="0.25">
      <c r="B36" t="s">
        <v>1200</v>
      </c>
      <c r="C36">
        <v>81710</v>
      </c>
      <c r="D36" t="s">
        <v>1200</v>
      </c>
      <c r="E36" t="s">
        <v>1200</v>
      </c>
      <c r="F36" t="s">
        <v>1047</v>
      </c>
      <c r="G36" t="s">
        <v>1047</v>
      </c>
      <c r="H36">
        <v>1</v>
      </c>
      <c r="I36">
        <v>1</v>
      </c>
      <c r="J36" t="s">
        <v>1146</v>
      </c>
      <c r="O36" t="s">
        <v>29</v>
      </c>
      <c r="P36">
        <v>191</v>
      </c>
    </row>
    <row r="37" spans="2:16" x14ac:dyDescent="0.25">
      <c r="B37" t="s">
        <v>1201</v>
      </c>
      <c r="C37">
        <v>81712</v>
      </c>
      <c r="D37" t="s">
        <v>1201</v>
      </c>
      <c r="E37" t="s">
        <v>1201</v>
      </c>
      <c r="F37" t="s">
        <v>1047</v>
      </c>
      <c r="G37" t="s">
        <v>1047</v>
      </c>
      <c r="H37">
        <v>1</v>
      </c>
      <c r="I37">
        <v>1</v>
      </c>
      <c r="J37" t="s">
        <v>1146</v>
      </c>
      <c r="O37" t="s">
        <v>29</v>
      </c>
      <c r="P37">
        <v>191</v>
      </c>
    </row>
    <row r="38" spans="2:16" x14ac:dyDescent="0.25">
      <c r="B38" t="s">
        <v>1202</v>
      </c>
      <c r="C38">
        <v>81714</v>
      </c>
      <c r="D38" t="s">
        <v>1202</v>
      </c>
      <c r="E38" t="s">
        <v>1202</v>
      </c>
      <c r="F38" t="s">
        <v>1047</v>
      </c>
      <c r="G38" t="s">
        <v>1047</v>
      </c>
      <c r="H38">
        <v>1</v>
      </c>
      <c r="I38">
        <v>1</v>
      </c>
      <c r="J38" t="s">
        <v>1146</v>
      </c>
      <c r="O38" t="s">
        <v>29</v>
      </c>
      <c r="P38">
        <v>221</v>
      </c>
    </row>
    <row r="39" spans="2:16" x14ac:dyDescent="0.25">
      <c r="B39" t="s">
        <v>1203</v>
      </c>
      <c r="C39">
        <v>81716</v>
      </c>
      <c r="D39" t="s">
        <v>1203</v>
      </c>
      <c r="E39" t="s">
        <v>1203</v>
      </c>
      <c r="F39" t="s">
        <v>1047</v>
      </c>
      <c r="G39" t="s">
        <v>1047</v>
      </c>
      <c r="H39">
        <v>1</v>
      </c>
      <c r="I39">
        <v>1</v>
      </c>
      <c r="J39" t="s">
        <v>1146</v>
      </c>
      <c r="O39" t="s">
        <v>29</v>
      </c>
      <c r="P39">
        <v>229</v>
      </c>
    </row>
    <row r="40" spans="2:16" x14ac:dyDescent="0.25">
      <c r="B40" t="s">
        <v>1204</v>
      </c>
      <c r="C40">
        <v>81718</v>
      </c>
      <c r="D40" t="s">
        <v>1204</v>
      </c>
      <c r="E40" t="s">
        <v>1204</v>
      </c>
      <c r="F40" t="s">
        <v>1047</v>
      </c>
      <c r="G40" t="s">
        <v>1047</v>
      </c>
      <c r="H40">
        <v>1</v>
      </c>
      <c r="I40">
        <v>1</v>
      </c>
      <c r="J40" t="s">
        <v>1146</v>
      </c>
      <c r="O40" t="s">
        <v>29</v>
      </c>
      <c r="P40">
        <v>275</v>
      </c>
    </row>
    <row r="41" spans="2:16" x14ac:dyDescent="0.25">
      <c r="B41" t="s">
        <v>1205</v>
      </c>
      <c r="C41">
        <v>81719</v>
      </c>
      <c r="D41" t="s">
        <v>1205</v>
      </c>
      <c r="E41" t="s">
        <v>1205</v>
      </c>
      <c r="F41" t="s">
        <v>1047</v>
      </c>
      <c r="G41" t="s">
        <v>1047</v>
      </c>
      <c r="H41">
        <v>1</v>
      </c>
      <c r="I41">
        <v>1</v>
      </c>
      <c r="J41" t="s">
        <v>1146</v>
      </c>
      <c r="O41" t="s">
        <v>29</v>
      </c>
      <c r="P41">
        <v>275</v>
      </c>
    </row>
    <row r="42" spans="2:16" x14ac:dyDescent="0.25">
      <c r="B42" t="s">
        <v>1244</v>
      </c>
      <c r="C42">
        <v>82000</v>
      </c>
      <c r="D42" t="s">
        <v>1244</v>
      </c>
      <c r="E42" t="s">
        <v>1244</v>
      </c>
      <c r="F42" t="s">
        <v>1047</v>
      </c>
      <c r="G42" t="s">
        <v>1047</v>
      </c>
      <c r="H42">
        <v>1</v>
      </c>
      <c r="I42">
        <v>1</v>
      </c>
      <c r="J42" t="s">
        <v>1146</v>
      </c>
      <c r="O42" t="s">
        <v>29</v>
      </c>
      <c r="P42">
        <v>40.049999999999997</v>
      </c>
    </row>
    <row r="43" spans="2:16" x14ac:dyDescent="0.25">
      <c r="B43" t="s">
        <v>1262</v>
      </c>
      <c r="C43">
        <v>82100</v>
      </c>
      <c r="D43" t="s">
        <v>1262</v>
      </c>
      <c r="E43" t="s">
        <v>1262</v>
      </c>
      <c r="F43" t="s">
        <v>1047</v>
      </c>
      <c r="G43" t="s">
        <v>1047</v>
      </c>
      <c r="H43">
        <v>1</v>
      </c>
      <c r="I43">
        <v>1</v>
      </c>
      <c r="J43" t="s">
        <v>1146</v>
      </c>
      <c r="O43" t="s">
        <v>29</v>
      </c>
      <c r="P43">
        <v>2037.6</v>
      </c>
    </row>
    <row r="44" spans="2:16" x14ac:dyDescent="0.25">
      <c r="B44" t="s">
        <v>1261</v>
      </c>
      <c r="C44">
        <v>82150</v>
      </c>
      <c r="D44" t="s">
        <v>1261</v>
      </c>
      <c r="E44" t="s">
        <v>1261</v>
      </c>
      <c r="F44" t="s">
        <v>1047</v>
      </c>
      <c r="G44" t="s">
        <v>1047</v>
      </c>
      <c r="H44">
        <v>1</v>
      </c>
      <c r="I44">
        <v>1</v>
      </c>
      <c r="J44" t="s">
        <v>1146</v>
      </c>
      <c r="O44" t="s">
        <v>29</v>
      </c>
      <c r="P44">
        <v>1062.5999999999999</v>
      </c>
    </row>
    <row r="45" spans="2:16" x14ac:dyDescent="0.25">
      <c r="B45" t="s">
        <v>1263</v>
      </c>
      <c r="C45">
        <v>82175</v>
      </c>
      <c r="D45" t="s">
        <v>1263</v>
      </c>
      <c r="E45" t="s">
        <v>1263</v>
      </c>
      <c r="F45" t="s">
        <v>1047</v>
      </c>
      <c r="G45" t="s">
        <v>1047</v>
      </c>
      <c r="H45">
        <v>1</v>
      </c>
      <c r="I45">
        <v>1</v>
      </c>
      <c r="J45" t="s">
        <v>1146</v>
      </c>
      <c r="O45" t="s">
        <v>29</v>
      </c>
      <c r="P45">
        <v>184.8</v>
      </c>
    </row>
    <row r="46" spans="2:16" x14ac:dyDescent="0.25">
      <c r="B46" t="s">
        <v>1288</v>
      </c>
      <c r="C46">
        <v>82180</v>
      </c>
      <c r="D46" t="s">
        <v>1288</v>
      </c>
      <c r="E46" t="s">
        <v>1288</v>
      </c>
      <c r="F46" t="s">
        <v>1047</v>
      </c>
      <c r="G46" t="s">
        <v>1047</v>
      </c>
      <c r="H46">
        <v>1</v>
      </c>
      <c r="I46">
        <v>1</v>
      </c>
      <c r="J46" t="s">
        <v>1146</v>
      </c>
      <c r="O46" t="s">
        <v>29</v>
      </c>
      <c r="P46">
        <v>859</v>
      </c>
    </row>
    <row r="47" spans="2:16" x14ac:dyDescent="0.25">
      <c r="B47" t="s">
        <v>1287</v>
      </c>
      <c r="C47">
        <v>82185</v>
      </c>
      <c r="D47" t="s">
        <v>1287</v>
      </c>
      <c r="E47" t="s">
        <v>1287</v>
      </c>
      <c r="F47" t="s">
        <v>1047</v>
      </c>
      <c r="G47" t="s">
        <v>1047</v>
      </c>
      <c r="H47">
        <v>1</v>
      </c>
      <c r="I47">
        <v>1</v>
      </c>
      <c r="J47" t="s">
        <v>1146</v>
      </c>
      <c r="O47" t="s">
        <v>29</v>
      </c>
      <c r="P47">
        <v>452</v>
      </c>
    </row>
    <row r="48" spans="2:16" x14ac:dyDescent="0.25">
      <c r="B48" t="s">
        <v>1286</v>
      </c>
      <c r="C48">
        <v>82190</v>
      </c>
      <c r="D48" t="s">
        <v>1286</v>
      </c>
      <c r="E48" t="s">
        <v>1286</v>
      </c>
      <c r="F48" t="s">
        <v>1047</v>
      </c>
      <c r="G48" t="s">
        <v>1047</v>
      </c>
      <c r="H48">
        <v>1</v>
      </c>
      <c r="I48">
        <v>1</v>
      </c>
      <c r="J48" t="s">
        <v>1146</v>
      </c>
      <c r="O48" t="s">
        <v>29</v>
      </c>
      <c r="P48">
        <v>512.32000000000005</v>
      </c>
    </row>
    <row r="49" spans="2:16" x14ac:dyDescent="0.25">
      <c r="B49" t="s">
        <v>1289</v>
      </c>
      <c r="C49">
        <v>82195</v>
      </c>
      <c r="D49" t="s">
        <v>1289</v>
      </c>
      <c r="E49" t="s">
        <v>1289</v>
      </c>
      <c r="F49" t="s">
        <v>1047</v>
      </c>
      <c r="G49" t="s">
        <v>1047</v>
      </c>
      <c r="H49">
        <v>1</v>
      </c>
      <c r="I49">
        <v>1</v>
      </c>
      <c r="J49" t="s">
        <v>1146</v>
      </c>
      <c r="O49" t="s">
        <v>29</v>
      </c>
      <c r="P49">
        <v>465</v>
      </c>
    </row>
    <row r="50" spans="2:16" x14ac:dyDescent="0.25">
      <c r="B50" t="s">
        <v>1291</v>
      </c>
      <c r="C50">
        <v>82200</v>
      </c>
      <c r="D50" t="s">
        <v>1291</v>
      </c>
      <c r="E50" t="s">
        <v>1291</v>
      </c>
      <c r="F50" t="s">
        <v>1047</v>
      </c>
      <c r="G50" t="s">
        <v>1047</v>
      </c>
      <c r="H50">
        <v>1</v>
      </c>
      <c r="I50">
        <v>1</v>
      </c>
      <c r="J50" t="s">
        <v>1146</v>
      </c>
      <c r="O50" t="s">
        <v>29</v>
      </c>
      <c r="P50">
        <v>895.02</v>
      </c>
    </row>
    <row r="51" spans="2:16" x14ac:dyDescent="0.25">
      <c r="B51" t="s">
        <v>1290</v>
      </c>
      <c r="C51">
        <v>82250</v>
      </c>
      <c r="D51" t="s">
        <v>1290</v>
      </c>
      <c r="E51" t="s">
        <v>1290</v>
      </c>
      <c r="F51" t="s">
        <v>1047</v>
      </c>
      <c r="G51" t="s">
        <v>1047</v>
      </c>
      <c r="H51">
        <v>1</v>
      </c>
      <c r="I51">
        <v>1</v>
      </c>
      <c r="J51" t="s">
        <v>1146</v>
      </c>
      <c r="O51" t="s">
        <v>29</v>
      </c>
      <c r="P51">
        <v>597.66999999999996</v>
      </c>
    </row>
    <row r="52" spans="2:16" x14ac:dyDescent="0.25">
      <c r="B52" t="s">
        <v>1285</v>
      </c>
      <c r="C52">
        <v>82275</v>
      </c>
      <c r="D52" t="s">
        <v>1285</v>
      </c>
      <c r="E52" t="s">
        <v>1285</v>
      </c>
      <c r="F52" t="s">
        <v>1047</v>
      </c>
      <c r="G52" t="s">
        <v>1047</v>
      </c>
      <c r="H52">
        <v>1</v>
      </c>
      <c r="I52">
        <v>1</v>
      </c>
      <c r="J52" t="s">
        <v>1146</v>
      </c>
      <c r="O52" t="s">
        <v>29</v>
      </c>
      <c r="P52">
        <v>248.47</v>
      </c>
    </row>
    <row r="53" spans="2:16" x14ac:dyDescent="0.25">
      <c r="B53" t="s">
        <v>1725</v>
      </c>
      <c r="C53">
        <v>82295</v>
      </c>
      <c r="D53" t="s">
        <v>1725</v>
      </c>
      <c r="E53" t="s">
        <v>1725</v>
      </c>
      <c r="F53" t="s">
        <v>1047</v>
      </c>
      <c r="G53" t="s">
        <v>1047</v>
      </c>
      <c r="H53">
        <v>1</v>
      </c>
      <c r="I53">
        <v>1</v>
      </c>
      <c r="J53" t="s">
        <v>1705</v>
      </c>
      <c r="O53" t="s">
        <v>29</v>
      </c>
      <c r="P53">
        <v>264</v>
      </c>
    </row>
    <row r="54" spans="2:16" x14ac:dyDescent="0.25">
      <c r="B54" t="s">
        <v>1733</v>
      </c>
      <c r="C54">
        <v>82300</v>
      </c>
      <c r="D54" t="s">
        <v>1733</v>
      </c>
      <c r="E54" t="s">
        <v>1733</v>
      </c>
      <c r="F54" t="s">
        <v>1047</v>
      </c>
      <c r="G54" t="s">
        <v>1047</v>
      </c>
      <c r="H54">
        <v>1</v>
      </c>
      <c r="I54">
        <v>1</v>
      </c>
      <c r="J54" t="s">
        <v>1705</v>
      </c>
      <c r="O54" t="s">
        <v>29</v>
      </c>
      <c r="P54">
        <v>157.4</v>
      </c>
    </row>
    <row r="55" spans="2:16" x14ac:dyDescent="0.25">
      <c r="B55" t="s">
        <v>1610</v>
      </c>
      <c r="C55">
        <v>83000</v>
      </c>
      <c r="D55" t="s">
        <v>1610</v>
      </c>
      <c r="E55" t="s">
        <v>1610</v>
      </c>
      <c r="F55" t="s">
        <v>1047</v>
      </c>
      <c r="G55" t="s">
        <v>1047</v>
      </c>
      <c r="H55">
        <v>1</v>
      </c>
      <c r="I55">
        <v>1</v>
      </c>
      <c r="J55" t="s">
        <v>1581</v>
      </c>
      <c r="O55" t="s">
        <v>29</v>
      </c>
      <c r="P55">
        <v>659</v>
      </c>
    </row>
    <row r="56" spans="2:16" x14ac:dyDescent="0.25">
      <c r="B56" t="s">
        <v>1611</v>
      </c>
      <c r="C56">
        <v>83010</v>
      </c>
      <c r="D56" t="s">
        <v>1611</v>
      </c>
      <c r="E56" t="s">
        <v>1611</v>
      </c>
      <c r="F56" t="s">
        <v>1047</v>
      </c>
      <c r="G56" t="s">
        <v>1047</v>
      </c>
      <c r="H56">
        <v>1</v>
      </c>
      <c r="I56">
        <v>1</v>
      </c>
      <c r="J56" t="s">
        <v>1581</v>
      </c>
      <c r="O56" t="s">
        <v>29</v>
      </c>
      <c r="P56">
        <v>700</v>
      </c>
    </row>
    <row r="57" spans="2:16" x14ac:dyDescent="0.25">
      <c r="B57" t="s">
        <v>1612</v>
      </c>
      <c r="C57">
        <v>83020</v>
      </c>
      <c r="D57" t="s">
        <v>1612</v>
      </c>
      <c r="E57" t="s">
        <v>1612</v>
      </c>
      <c r="F57" t="s">
        <v>1047</v>
      </c>
      <c r="G57" t="s">
        <v>1047</v>
      </c>
      <c r="H57">
        <v>1</v>
      </c>
      <c r="I57">
        <v>1</v>
      </c>
      <c r="J57" t="s">
        <v>1581</v>
      </c>
      <c r="O57" t="s">
        <v>29</v>
      </c>
      <c r="P57">
        <v>802</v>
      </c>
    </row>
    <row r="58" spans="2:16" x14ac:dyDescent="0.25">
      <c r="B58" t="s">
        <v>1613</v>
      </c>
      <c r="C58">
        <v>83030</v>
      </c>
      <c r="D58" t="s">
        <v>1613</v>
      </c>
      <c r="E58" t="s">
        <v>1613</v>
      </c>
      <c r="F58" t="s">
        <v>1047</v>
      </c>
      <c r="G58" t="s">
        <v>1047</v>
      </c>
      <c r="H58">
        <v>1</v>
      </c>
      <c r="I58">
        <v>1</v>
      </c>
      <c r="J58" t="s">
        <v>1581</v>
      </c>
      <c r="O58" t="s">
        <v>29</v>
      </c>
      <c r="P58">
        <v>866</v>
      </c>
    </row>
    <row r="59" spans="2:16" x14ac:dyDescent="0.25">
      <c r="B59" t="s">
        <v>1614</v>
      </c>
      <c r="C59">
        <v>83040</v>
      </c>
      <c r="D59" t="s">
        <v>1614</v>
      </c>
      <c r="E59" t="s">
        <v>1614</v>
      </c>
      <c r="F59" t="s">
        <v>1047</v>
      </c>
      <c r="G59" t="s">
        <v>1047</v>
      </c>
      <c r="H59">
        <v>1</v>
      </c>
      <c r="I59">
        <v>1</v>
      </c>
      <c r="J59" t="s">
        <v>1581</v>
      </c>
      <c r="O59" t="s">
        <v>29</v>
      </c>
      <c r="P59">
        <v>974</v>
      </c>
    </row>
    <row r="60" spans="2:16" x14ac:dyDescent="0.25">
      <c r="B60" t="s">
        <v>1615</v>
      </c>
      <c r="C60">
        <v>83050</v>
      </c>
      <c r="D60" t="s">
        <v>1615</v>
      </c>
      <c r="E60" t="s">
        <v>1615</v>
      </c>
      <c r="F60" t="s">
        <v>1047</v>
      </c>
      <c r="G60" t="s">
        <v>1047</v>
      </c>
      <c r="H60">
        <v>1</v>
      </c>
      <c r="I60">
        <v>1</v>
      </c>
      <c r="J60" t="s">
        <v>1581</v>
      </c>
      <c r="O60" t="s">
        <v>29</v>
      </c>
      <c r="P60">
        <v>1091</v>
      </c>
    </row>
    <row r="61" spans="2:16" x14ac:dyDescent="0.25">
      <c r="B61" t="s">
        <v>1616</v>
      </c>
      <c r="C61">
        <v>83060</v>
      </c>
      <c r="D61" t="s">
        <v>1616</v>
      </c>
      <c r="E61" t="s">
        <v>1616</v>
      </c>
      <c r="F61" t="s">
        <v>1047</v>
      </c>
      <c r="G61" t="s">
        <v>1047</v>
      </c>
      <c r="H61">
        <v>1</v>
      </c>
      <c r="I61">
        <v>1</v>
      </c>
      <c r="J61" t="s">
        <v>1581</v>
      </c>
      <c r="O61" t="s">
        <v>29</v>
      </c>
      <c r="P61">
        <v>1311</v>
      </c>
    </row>
    <row r="62" spans="2:16" x14ac:dyDescent="0.25">
      <c r="B62" t="s">
        <v>1617</v>
      </c>
      <c r="C62">
        <v>83100</v>
      </c>
      <c r="D62" t="s">
        <v>1617</v>
      </c>
      <c r="E62" t="s">
        <v>1617</v>
      </c>
      <c r="F62" t="s">
        <v>1047</v>
      </c>
      <c r="G62" t="s">
        <v>1047</v>
      </c>
      <c r="H62">
        <v>1</v>
      </c>
      <c r="I62">
        <v>1</v>
      </c>
      <c r="J62" t="s">
        <v>1581</v>
      </c>
      <c r="O62" t="s">
        <v>29</v>
      </c>
      <c r="P62">
        <v>910</v>
      </c>
    </row>
    <row r="63" spans="2:16" x14ac:dyDescent="0.25">
      <c r="B63" t="s">
        <v>1618</v>
      </c>
      <c r="C63">
        <v>83110</v>
      </c>
      <c r="D63" t="s">
        <v>1618</v>
      </c>
      <c r="E63" t="s">
        <v>1618</v>
      </c>
      <c r="F63" t="s">
        <v>1047</v>
      </c>
      <c r="G63" t="s">
        <v>1047</v>
      </c>
      <c r="H63">
        <v>1</v>
      </c>
      <c r="I63">
        <v>1</v>
      </c>
      <c r="J63" t="s">
        <v>1581</v>
      </c>
      <c r="O63" t="s">
        <v>29</v>
      </c>
      <c r="P63">
        <v>936</v>
      </c>
    </row>
    <row r="64" spans="2:16" x14ac:dyDescent="0.25">
      <c r="B64" t="s">
        <v>1619</v>
      </c>
      <c r="C64">
        <v>83120</v>
      </c>
      <c r="D64" t="s">
        <v>1619</v>
      </c>
      <c r="E64" t="s">
        <v>1619</v>
      </c>
      <c r="F64" t="s">
        <v>1047</v>
      </c>
      <c r="G64" t="s">
        <v>1047</v>
      </c>
      <c r="H64">
        <v>1</v>
      </c>
      <c r="I64">
        <v>1</v>
      </c>
      <c r="J64" t="s">
        <v>1581</v>
      </c>
      <c r="O64" t="s">
        <v>29</v>
      </c>
      <c r="P64">
        <v>1003</v>
      </c>
    </row>
    <row r="65" spans="2:16" x14ac:dyDescent="0.25">
      <c r="B65" t="s">
        <v>1620</v>
      </c>
      <c r="C65">
        <v>83130</v>
      </c>
      <c r="D65" t="s">
        <v>1620</v>
      </c>
      <c r="E65" t="s">
        <v>1620</v>
      </c>
      <c r="F65" t="s">
        <v>1047</v>
      </c>
      <c r="G65" t="s">
        <v>1047</v>
      </c>
      <c r="H65">
        <v>1</v>
      </c>
      <c r="I65">
        <v>1</v>
      </c>
      <c r="J65" t="s">
        <v>1581</v>
      </c>
      <c r="O65" t="s">
        <v>29</v>
      </c>
      <c r="P65">
        <v>1026</v>
      </c>
    </row>
    <row r="66" spans="2:16" x14ac:dyDescent="0.25">
      <c r="B66" t="s">
        <v>1621</v>
      </c>
      <c r="C66">
        <v>83140</v>
      </c>
      <c r="D66" t="s">
        <v>1621</v>
      </c>
      <c r="E66" t="s">
        <v>1621</v>
      </c>
      <c r="F66" t="s">
        <v>1047</v>
      </c>
      <c r="G66" t="s">
        <v>1047</v>
      </c>
      <c r="H66">
        <v>1</v>
      </c>
      <c r="I66">
        <v>1</v>
      </c>
      <c r="J66" t="s">
        <v>1581</v>
      </c>
      <c r="O66" t="s">
        <v>29</v>
      </c>
      <c r="P66">
        <v>1085</v>
      </c>
    </row>
    <row r="67" spans="2:16" x14ac:dyDescent="0.25">
      <c r="B67" t="s">
        <v>1622</v>
      </c>
      <c r="C67">
        <v>83150</v>
      </c>
      <c r="D67" t="s">
        <v>1622</v>
      </c>
      <c r="E67" t="s">
        <v>1622</v>
      </c>
      <c r="F67" t="s">
        <v>1047</v>
      </c>
      <c r="G67" t="s">
        <v>1047</v>
      </c>
      <c r="H67">
        <v>1</v>
      </c>
      <c r="I67">
        <v>1</v>
      </c>
      <c r="J67" t="s">
        <v>1581</v>
      </c>
      <c r="O67" t="s">
        <v>29</v>
      </c>
      <c r="P67">
        <v>1303</v>
      </c>
    </row>
    <row r="68" spans="2:16" x14ac:dyDescent="0.25">
      <c r="B68" t="s">
        <v>1623</v>
      </c>
      <c r="C68">
        <v>83160</v>
      </c>
      <c r="D68" t="s">
        <v>1623</v>
      </c>
      <c r="E68" t="s">
        <v>1623</v>
      </c>
      <c r="F68" t="s">
        <v>1047</v>
      </c>
      <c r="G68" t="s">
        <v>1047</v>
      </c>
      <c r="H68">
        <v>1</v>
      </c>
      <c r="I68">
        <v>1</v>
      </c>
      <c r="J68" t="s">
        <v>1581</v>
      </c>
      <c r="O68" t="s">
        <v>29</v>
      </c>
      <c r="P68">
        <v>1426</v>
      </c>
    </row>
    <row r="69" spans="2:16" x14ac:dyDescent="0.25">
      <c r="B69" t="s">
        <v>1248</v>
      </c>
      <c r="C69">
        <v>83200</v>
      </c>
      <c r="D69" t="s">
        <v>1248</v>
      </c>
      <c r="E69" t="s">
        <v>1248</v>
      </c>
      <c r="F69" t="s">
        <v>1047</v>
      </c>
      <c r="G69" t="s">
        <v>1047</v>
      </c>
      <c r="H69">
        <v>1</v>
      </c>
      <c r="I69">
        <v>1</v>
      </c>
      <c r="J69" t="s">
        <v>1146</v>
      </c>
      <c r="O69" t="s">
        <v>29</v>
      </c>
      <c r="P69">
        <v>441</v>
      </c>
    </row>
    <row r="70" spans="2:16" x14ac:dyDescent="0.25">
      <c r="B70" t="s">
        <v>1249</v>
      </c>
      <c r="C70">
        <v>83210</v>
      </c>
      <c r="D70" t="s">
        <v>1249</v>
      </c>
      <c r="E70" t="s">
        <v>1249</v>
      </c>
      <c r="F70" t="s">
        <v>1047</v>
      </c>
      <c r="G70" t="s">
        <v>1047</v>
      </c>
      <c r="H70">
        <v>1</v>
      </c>
      <c r="I70">
        <v>1</v>
      </c>
      <c r="J70" t="s">
        <v>1146</v>
      </c>
      <c r="O70" t="s">
        <v>29</v>
      </c>
      <c r="P70">
        <v>464</v>
      </c>
    </row>
    <row r="71" spans="2:16" x14ac:dyDescent="0.25">
      <c r="B71" t="s">
        <v>1250</v>
      </c>
      <c r="C71">
        <v>83220</v>
      </c>
      <c r="D71" t="s">
        <v>1250</v>
      </c>
      <c r="E71" t="s">
        <v>1250</v>
      </c>
      <c r="F71" t="s">
        <v>1047</v>
      </c>
      <c r="G71" t="s">
        <v>1047</v>
      </c>
      <c r="H71">
        <v>1</v>
      </c>
      <c r="I71">
        <v>1</v>
      </c>
      <c r="J71" t="s">
        <v>1146</v>
      </c>
      <c r="O71" t="s">
        <v>29</v>
      </c>
      <c r="P71">
        <v>488</v>
      </c>
    </row>
    <row r="72" spans="2:16" x14ac:dyDescent="0.25">
      <c r="B72" t="s">
        <v>1251</v>
      </c>
      <c r="C72">
        <v>83230</v>
      </c>
      <c r="D72" t="s">
        <v>1251</v>
      </c>
      <c r="E72" t="s">
        <v>1251</v>
      </c>
      <c r="F72" t="s">
        <v>1047</v>
      </c>
      <c r="G72" t="s">
        <v>1047</v>
      </c>
      <c r="H72">
        <v>1</v>
      </c>
      <c r="I72">
        <v>1</v>
      </c>
      <c r="J72" t="s">
        <v>1146</v>
      </c>
      <c r="O72" t="s">
        <v>29</v>
      </c>
      <c r="P72">
        <v>491</v>
      </c>
    </row>
    <row r="73" spans="2:16" x14ac:dyDescent="0.25">
      <c r="B73" t="s">
        <v>1252</v>
      </c>
      <c r="C73">
        <v>83240</v>
      </c>
      <c r="D73" t="s">
        <v>1252</v>
      </c>
      <c r="E73" t="s">
        <v>1252</v>
      </c>
      <c r="F73" t="s">
        <v>1047</v>
      </c>
      <c r="G73" t="s">
        <v>1047</v>
      </c>
      <c r="H73">
        <v>1</v>
      </c>
      <c r="I73">
        <v>1</v>
      </c>
      <c r="J73" t="s">
        <v>1146</v>
      </c>
      <c r="O73" t="s">
        <v>29</v>
      </c>
      <c r="P73">
        <v>632</v>
      </c>
    </row>
    <row r="74" spans="2:16" x14ac:dyDescent="0.25">
      <c r="B74" t="s">
        <v>1253</v>
      </c>
      <c r="C74">
        <v>83250</v>
      </c>
      <c r="D74" t="s">
        <v>1253</v>
      </c>
      <c r="E74" t="s">
        <v>1253</v>
      </c>
      <c r="F74" t="s">
        <v>1047</v>
      </c>
      <c r="G74" t="s">
        <v>1047</v>
      </c>
      <c r="H74">
        <v>1</v>
      </c>
      <c r="I74">
        <v>1</v>
      </c>
      <c r="J74" t="s">
        <v>1146</v>
      </c>
      <c r="O74" t="s">
        <v>29</v>
      </c>
      <c r="P74">
        <v>635</v>
      </c>
    </row>
    <row r="75" spans="2:16" x14ac:dyDescent="0.25">
      <c r="B75" t="s">
        <v>1254</v>
      </c>
      <c r="C75">
        <v>83260</v>
      </c>
      <c r="D75" t="s">
        <v>1254</v>
      </c>
      <c r="E75" t="s">
        <v>1254</v>
      </c>
      <c r="F75" t="s">
        <v>1047</v>
      </c>
      <c r="G75" t="s">
        <v>1047</v>
      </c>
      <c r="H75">
        <v>1</v>
      </c>
      <c r="I75">
        <v>1</v>
      </c>
      <c r="J75" t="s">
        <v>1146</v>
      </c>
      <c r="O75" t="s">
        <v>29</v>
      </c>
      <c r="P75">
        <v>768</v>
      </c>
    </row>
    <row r="76" spans="2:16" x14ac:dyDescent="0.25">
      <c r="B76" t="s">
        <v>1259</v>
      </c>
      <c r="C76">
        <v>83300</v>
      </c>
      <c r="D76" t="s">
        <v>1259</v>
      </c>
      <c r="E76" t="s">
        <v>1259</v>
      </c>
      <c r="F76" t="s">
        <v>1047</v>
      </c>
      <c r="G76" t="s">
        <v>1047</v>
      </c>
      <c r="H76">
        <v>1</v>
      </c>
      <c r="I76">
        <v>1</v>
      </c>
      <c r="J76" t="s">
        <v>1146</v>
      </c>
      <c r="O76" t="s">
        <v>29</v>
      </c>
      <c r="P76">
        <v>128</v>
      </c>
    </row>
    <row r="77" spans="2:16" x14ac:dyDescent="0.25">
      <c r="B77" t="s">
        <v>1255</v>
      </c>
      <c r="C77">
        <v>83310</v>
      </c>
      <c r="D77" t="s">
        <v>1255</v>
      </c>
      <c r="E77" t="s">
        <v>1255</v>
      </c>
      <c r="F77" t="s">
        <v>1047</v>
      </c>
      <c r="G77" t="s">
        <v>1047</v>
      </c>
      <c r="H77">
        <v>1</v>
      </c>
      <c r="I77">
        <v>1</v>
      </c>
      <c r="J77" t="s">
        <v>1146</v>
      </c>
      <c r="O77" t="s">
        <v>29</v>
      </c>
      <c r="P77">
        <v>113</v>
      </c>
    </row>
    <row r="78" spans="2:16" x14ac:dyDescent="0.25">
      <c r="B78" t="s">
        <v>1256</v>
      </c>
      <c r="C78">
        <v>83320</v>
      </c>
      <c r="D78" t="s">
        <v>1256</v>
      </c>
      <c r="E78" t="s">
        <v>1256</v>
      </c>
      <c r="F78" t="s">
        <v>1047</v>
      </c>
      <c r="G78" t="s">
        <v>1047</v>
      </c>
      <c r="H78">
        <v>1</v>
      </c>
      <c r="I78">
        <v>1</v>
      </c>
      <c r="J78" t="s">
        <v>1146</v>
      </c>
      <c r="O78" t="s">
        <v>29</v>
      </c>
      <c r="P78">
        <v>163</v>
      </c>
    </row>
    <row r="79" spans="2:16" x14ac:dyDescent="0.25">
      <c r="B79" t="s">
        <v>1217</v>
      </c>
      <c r="C79">
        <v>83325</v>
      </c>
      <c r="D79" t="s">
        <v>1217</v>
      </c>
      <c r="E79" t="s">
        <v>1217</v>
      </c>
      <c r="F79" t="s">
        <v>1047</v>
      </c>
      <c r="G79" t="s">
        <v>1047</v>
      </c>
      <c r="H79">
        <v>1</v>
      </c>
      <c r="I79">
        <v>1</v>
      </c>
      <c r="J79" t="s">
        <v>1146</v>
      </c>
      <c r="O79" t="s">
        <v>29</v>
      </c>
      <c r="P79">
        <v>128</v>
      </c>
    </row>
    <row r="80" spans="2:16" x14ac:dyDescent="0.25">
      <c r="B80" t="s">
        <v>1257</v>
      </c>
      <c r="C80">
        <v>83330</v>
      </c>
      <c r="D80" t="s">
        <v>1257</v>
      </c>
      <c r="E80" t="s">
        <v>1257</v>
      </c>
      <c r="F80" t="s">
        <v>1047</v>
      </c>
      <c r="G80" t="s">
        <v>1047</v>
      </c>
      <c r="H80">
        <v>1</v>
      </c>
      <c r="I80">
        <v>1</v>
      </c>
      <c r="J80" t="s">
        <v>1146</v>
      </c>
      <c r="O80" t="s">
        <v>29</v>
      </c>
      <c r="P80">
        <v>136</v>
      </c>
    </row>
    <row r="81" spans="2:16" x14ac:dyDescent="0.25">
      <c r="B81" t="s">
        <v>1218</v>
      </c>
      <c r="C81">
        <v>83335</v>
      </c>
      <c r="D81" t="s">
        <v>1218</v>
      </c>
      <c r="E81" t="s">
        <v>1218</v>
      </c>
      <c r="F81" t="s">
        <v>1047</v>
      </c>
      <c r="G81" t="s">
        <v>1047</v>
      </c>
      <c r="H81">
        <v>1</v>
      </c>
      <c r="I81">
        <v>1</v>
      </c>
      <c r="J81" t="s">
        <v>1146</v>
      </c>
      <c r="O81" t="s">
        <v>29</v>
      </c>
      <c r="P81">
        <v>136</v>
      </c>
    </row>
    <row r="82" spans="2:16" x14ac:dyDescent="0.25">
      <c r="B82" t="s">
        <v>1258</v>
      </c>
      <c r="C82">
        <v>83340</v>
      </c>
      <c r="D82" t="s">
        <v>1258</v>
      </c>
      <c r="E82" t="s">
        <v>1258</v>
      </c>
      <c r="F82" t="s">
        <v>1047</v>
      </c>
      <c r="G82" t="s">
        <v>1047</v>
      </c>
      <c r="H82">
        <v>1</v>
      </c>
      <c r="I82">
        <v>1</v>
      </c>
      <c r="J82" t="s">
        <v>1146</v>
      </c>
      <c r="O82" t="s">
        <v>29</v>
      </c>
      <c r="P82">
        <v>302</v>
      </c>
    </row>
    <row r="83" spans="2:16" x14ac:dyDescent="0.25">
      <c r="B83" t="s">
        <v>1177</v>
      </c>
      <c r="C83">
        <v>84000</v>
      </c>
      <c r="D83" t="s">
        <v>1177</v>
      </c>
      <c r="E83" t="s">
        <v>1177</v>
      </c>
      <c r="F83" t="s">
        <v>1047</v>
      </c>
      <c r="G83" t="s">
        <v>1047</v>
      </c>
      <c r="H83">
        <v>1</v>
      </c>
      <c r="I83">
        <v>1</v>
      </c>
      <c r="J83" t="s">
        <v>1146</v>
      </c>
      <c r="O83" t="s">
        <v>29</v>
      </c>
      <c r="P83">
        <v>490</v>
      </c>
    </row>
    <row r="84" spans="2:16" x14ac:dyDescent="0.25">
      <c r="B84" t="s">
        <v>1182</v>
      </c>
      <c r="C84">
        <v>84001</v>
      </c>
      <c r="D84" t="s">
        <v>1182</v>
      </c>
      <c r="E84" t="s">
        <v>1182</v>
      </c>
      <c r="F84" t="s">
        <v>1047</v>
      </c>
      <c r="G84" t="s">
        <v>1047</v>
      </c>
      <c r="H84">
        <v>1</v>
      </c>
      <c r="I84">
        <v>1</v>
      </c>
      <c r="J84" t="s">
        <v>1146</v>
      </c>
      <c r="O84" t="s">
        <v>29</v>
      </c>
      <c r="P84">
        <v>467</v>
      </c>
    </row>
    <row r="85" spans="2:16" x14ac:dyDescent="0.25">
      <c r="B85" t="s">
        <v>1178</v>
      </c>
      <c r="C85">
        <v>84005</v>
      </c>
      <c r="D85" t="s">
        <v>1178</v>
      </c>
      <c r="E85" t="s">
        <v>1178</v>
      </c>
      <c r="F85" t="s">
        <v>1047</v>
      </c>
      <c r="G85" t="s">
        <v>1047</v>
      </c>
      <c r="H85">
        <v>1</v>
      </c>
      <c r="I85">
        <v>1</v>
      </c>
      <c r="J85" t="s">
        <v>1146</v>
      </c>
      <c r="O85" t="s">
        <v>29</v>
      </c>
      <c r="P85">
        <v>501</v>
      </c>
    </row>
    <row r="86" spans="2:16" x14ac:dyDescent="0.25">
      <c r="B86" t="s">
        <v>1176</v>
      </c>
      <c r="C86">
        <v>84006</v>
      </c>
      <c r="D86" t="s">
        <v>1176</v>
      </c>
      <c r="E86" t="s">
        <v>1176</v>
      </c>
      <c r="F86" t="s">
        <v>1047</v>
      </c>
      <c r="G86" t="s">
        <v>1047</v>
      </c>
      <c r="H86">
        <v>1</v>
      </c>
      <c r="I86">
        <v>1</v>
      </c>
      <c r="J86" t="s">
        <v>1146</v>
      </c>
      <c r="O86" t="s">
        <v>29</v>
      </c>
      <c r="P86">
        <v>501</v>
      </c>
    </row>
    <row r="87" spans="2:16" x14ac:dyDescent="0.25">
      <c r="B87" t="s">
        <v>1179</v>
      </c>
      <c r="C87">
        <v>84010</v>
      </c>
      <c r="D87" t="s">
        <v>1179</v>
      </c>
      <c r="E87" t="s">
        <v>1179</v>
      </c>
      <c r="F87" t="s">
        <v>1047</v>
      </c>
      <c r="G87" t="s">
        <v>1047</v>
      </c>
      <c r="H87">
        <v>1</v>
      </c>
      <c r="I87">
        <v>1</v>
      </c>
      <c r="J87" t="s">
        <v>1146</v>
      </c>
      <c r="O87" t="s">
        <v>29</v>
      </c>
      <c r="P87">
        <v>582</v>
      </c>
    </row>
    <row r="88" spans="2:16" x14ac:dyDescent="0.25">
      <c r="B88" t="s">
        <v>1180</v>
      </c>
      <c r="C88">
        <v>84015</v>
      </c>
      <c r="D88" t="s">
        <v>1180</v>
      </c>
      <c r="E88" t="s">
        <v>1180</v>
      </c>
      <c r="F88" t="s">
        <v>1047</v>
      </c>
      <c r="G88" t="s">
        <v>1047</v>
      </c>
      <c r="H88">
        <v>1</v>
      </c>
      <c r="I88">
        <v>1</v>
      </c>
      <c r="J88" t="s">
        <v>1146</v>
      </c>
      <c r="O88" t="s">
        <v>29</v>
      </c>
      <c r="P88">
        <v>649</v>
      </c>
    </row>
    <row r="89" spans="2:16" x14ac:dyDescent="0.25">
      <c r="B89" t="s">
        <v>1181</v>
      </c>
      <c r="C89">
        <v>84020</v>
      </c>
      <c r="D89" t="s">
        <v>1181</v>
      </c>
      <c r="E89" t="s">
        <v>1181</v>
      </c>
      <c r="F89" t="s">
        <v>1047</v>
      </c>
      <c r="G89" t="s">
        <v>1047</v>
      </c>
      <c r="H89">
        <v>1</v>
      </c>
      <c r="I89">
        <v>1</v>
      </c>
      <c r="J89" t="s">
        <v>1146</v>
      </c>
      <c r="O89" t="s">
        <v>29</v>
      </c>
      <c r="P89">
        <v>649</v>
      </c>
    </row>
    <row r="90" spans="2:16" x14ac:dyDescent="0.25">
      <c r="B90" t="s">
        <v>1295</v>
      </c>
      <c r="C90">
        <v>84025</v>
      </c>
      <c r="D90" t="s">
        <v>1295</v>
      </c>
      <c r="E90" t="s">
        <v>1295</v>
      </c>
      <c r="F90" t="s">
        <v>1047</v>
      </c>
      <c r="G90" t="s">
        <v>1047</v>
      </c>
      <c r="H90">
        <v>1</v>
      </c>
      <c r="I90">
        <v>1</v>
      </c>
      <c r="J90" t="s">
        <v>1146</v>
      </c>
      <c r="O90" t="s">
        <v>29</v>
      </c>
      <c r="P90">
        <v>531</v>
      </c>
    </row>
    <row r="91" spans="2:16" x14ac:dyDescent="0.25">
      <c r="B91" t="s">
        <v>1292</v>
      </c>
      <c r="C91">
        <v>84030</v>
      </c>
      <c r="D91" t="s">
        <v>1292</v>
      </c>
      <c r="E91" t="s">
        <v>1292</v>
      </c>
      <c r="F91" t="s">
        <v>1047</v>
      </c>
      <c r="G91" t="s">
        <v>1047</v>
      </c>
      <c r="H91">
        <v>1</v>
      </c>
      <c r="I91">
        <v>1</v>
      </c>
      <c r="J91" t="s">
        <v>1146</v>
      </c>
      <c r="O91" t="s">
        <v>29</v>
      </c>
      <c r="P91">
        <v>594</v>
      </c>
    </row>
    <row r="92" spans="2:16" x14ac:dyDescent="0.25">
      <c r="B92" t="s">
        <v>1296</v>
      </c>
      <c r="C92">
        <v>84035</v>
      </c>
      <c r="D92" t="s">
        <v>1296</v>
      </c>
      <c r="E92" t="s">
        <v>1296</v>
      </c>
      <c r="F92" t="s">
        <v>1047</v>
      </c>
      <c r="G92" t="s">
        <v>1047</v>
      </c>
      <c r="H92">
        <v>1</v>
      </c>
      <c r="I92">
        <v>1</v>
      </c>
      <c r="J92" t="s">
        <v>1146</v>
      </c>
      <c r="O92" t="s">
        <v>29</v>
      </c>
      <c r="P92">
        <v>660</v>
      </c>
    </row>
    <row r="93" spans="2:16" x14ac:dyDescent="0.25">
      <c r="B93" t="s">
        <v>1293</v>
      </c>
      <c r="C93">
        <v>84040</v>
      </c>
      <c r="D93" t="s">
        <v>1293</v>
      </c>
      <c r="E93" t="s">
        <v>1293</v>
      </c>
      <c r="F93" t="s">
        <v>1047</v>
      </c>
      <c r="G93" t="s">
        <v>1047</v>
      </c>
      <c r="H93">
        <v>1</v>
      </c>
      <c r="I93">
        <v>1</v>
      </c>
      <c r="J93" t="s">
        <v>1146</v>
      </c>
      <c r="O93" t="s">
        <v>29</v>
      </c>
      <c r="P93">
        <v>746</v>
      </c>
    </row>
    <row r="94" spans="2:16" x14ac:dyDescent="0.25">
      <c r="B94" t="s">
        <v>1294</v>
      </c>
      <c r="C94">
        <v>84045</v>
      </c>
      <c r="D94" t="s">
        <v>1294</v>
      </c>
      <c r="E94" t="s">
        <v>1294</v>
      </c>
      <c r="F94" t="s">
        <v>1047</v>
      </c>
      <c r="G94" t="s">
        <v>1047</v>
      </c>
      <c r="H94">
        <v>1</v>
      </c>
      <c r="I94">
        <v>1</v>
      </c>
      <c r="J94" t="s">
        <v>1146</v>
      </c>
      <c r="O94" t="s">
        <v>29</v>
      </c>
      <c r="P94">
        <v>813</v>
      </c>
    </row>
    <row r="95" spans="2:16" x14ac:dyDescent="0.25">
      <c r="B95" t="s">
        <v>1297</v>
      </c>
      <c r="C95">
        <v>84050</v>
      </c>
      <c r="D95" t="s">
        <v>1297</v>
      </c>
      <c r="E95" t="s">
        <v>1297</v>
      </c>
      <c r="F95" t="s">
        <v>1047</v>
      </c>
      <c r="G95" t="s">
        <v>1047</v>
      </c>
      <c r="H95">
        <v>1</v>
      </c>
      <c r="I95">
        <v>1</v>
      </c>
      <c r="J95" t="s">
        <v>1146</v>
      </c>
      <c r="O95" t="s">
        <v>29</v>
      </c>
      <c r="P95">
        <v>892</v>
      </c>
    </row>
    <row r="96" spans="2:16" x14ac:dyDescent="0.25">
      <c r="B96" t="s">
        <v>1191</v>
      </c>
      <c r="C96">
        <v>84055</v>
      </c>
      <c r="D96" t="s">
        <v>1191</v>
      </c>
      <c r="E96" t="s">
        <v>1191</v>
      </c>
      <c r="F96" t="s">
        <v>1047</v>
      </c>
      <c r="G96" t="s">
        <v>1047</v>
      </c>
      <c r="H96">
        <v>1</v>
      </c>
      <c r="I96">
        <v>1</v>
      </c>
      <c r="J96" t="s">
        <v>1146</v>
      </c>
      <c r="O96" t="s">
        <v>29</v>
      </c>
      <c r="P96">
        <v>39</v>
      </c>
    </row>
    <row r="97" spans="2:16" x14ac:dyDescent="0.25">
      <c r="B97" t="s">
        <v>1192</v>
      </c>
      <c r="C97">
        <v>84060</v>
      </c>
      <c r="D97" t="s">
        <v>1192</v>
      </c>
      <c r="E97" t="s">
        <v>1192</v>
      </c>
      <c r="F97" t="s">
        <v>1047</v>
      </c>
      <c r="G97" t="s">
        <v>1047</v>
      </c>
      <c r="H97">
        <v>1</v>
      </c>
      <c r="I97">
        <v>1</v>
      </c>
      <c r="J97" t="s">
        <v>1146</v>
      </c>
      <c r="O97" t="s">
        <v>29</v>
      </c>
      <c r="P97">
        <v>49</v>
      </c>
    </row>
    <row r="98" spans="2:16" x14ac:dyDescent="0.25">
      <c r="B98" t="s">
        <v>1193</v>
      </c>
      <c r="C98">
        <v>84065</v>
      </c>
      <c r="D98" t="s">
        <v>1193</v>
      </c>
      <c r="E98" t="s">
        <v>1193</v>
      </c>
      <c r="F98" t="s">
        <v>1047</v>
      </c>
      <c r="G98" t="s">
        <v>1047</v>
      </c>
      <c r="H98">
        <v>1</v>
      </c>
      <c r="I98">
        <v>1</v>
      </c>
      <c r="J98" t="s">
        <v>1146</v>
      </c>
      <c r="O98" t="s">
        <v>29</v>
      </c>
      <c r="P98">
        <v>52</v>
      </c>
    </row>
    <row r="99" spans="2:16" x14ac:dyDescent="0.25">
      <c r="B99" t="s">
        <v>1194</v>
      </c>
      <c r="C99">
        <v>84070</v>
      </c>
      <c r="D99" t="s">
        <v>1194</v>
      </c>
      <c r="E99" t="s">
        <v>1194</v>
      </c>
      <c r="F99" t="s">
        <v>1047</v>
      </c>
      <c r="G99" t="s">
        <v>1047</v>
      </c>
      <c r="H99">
        <v>1</v>
      </c>
      <c r="I99">
        <v>1</v>
      </c>
      <c r="J99" t="s">
        <v>1146</v>
      </c>
      <c r="O99" t="s">
        <v>29</v>
      </c>
      <c r="P99">
        <v>115</v>
      </c>
    </row>
    <row r="100" spans="2:16" x14ac:dyDescent="0.25">
      <c r="B100" t="s">
        <v>1183</v>
      </c>
      <c r="C100">
        <v>84075</v>
      </c>
      <c r="D100" t="s">
        <v>1183</v>
      </c>
      <c r="E100" t="s">
        <v>1183</v>
      </c>
      <c r="F100" t="s">
        <v>1047</v>
      </c>
      <c r="G100" t="s">
        <v>1047</v>
      </c>
      <c r="H100">
        <v>1</v>
      </c>
      <c r="I100">
        <v>1</v>
      </c>
      <c r="J100" t="s">
        <v>1146</v>
      </c>
      <c r="O100" t="s">
        <v>29</v>
      </c>
      <c r="P100">
        <v>479</v>
      </c>
    </row>
    <row r="101" spans="2:16" x14ac:dyDescent="0.25">
      <c r="B101" t="s">
        <v>1184</v>
      </c>
      <c r="C101">
        <v>84080</v>
      </c>
      <c r="D101" t="s">
        <v>1184</v>
      </c>
      <c r="E101" t="s">
        <v>1184</v>
      </c>
      <c r="F101" t="s">
        <v>1047</v>
      </c>
      <c r="G101" t="s">
        <v>1047</v>
      </c>
      <c r="H101">
        <v>1</v>
      </c>
      <c r="I101">
        <v>1</v>
      </c>
      <c r="J101" t="s">
        <v>1146</v>
      </c>
      <c r="O101" t="s">
        <v>29</v>
      </c>
      <c r="P101">
        <v>507</v>
      </c>
    </row>
    <row r="102" spans="2:16" x14ac:dyDescent="0.25">
      <c r="B102" t="s">
        <v>1185</v>
      </c>
      <c r="C102">
        <v>84085</v>
      </c>
      <c r="D102" t="s">
        <v>1185</v>
      </c>
      <c r="E102" t="s">
        <v>1185</v>
      </c>
      <c r="F102" t="s">
        <v>1047</v>
      </c>
      <c r="G102" t="s">
        <v>1047</v>
      </c>
      <c r="H102">
        <v>1</v>
      </c>
      <c r="I102">
        <v>1</v>
      </c>
      <c r="J102" t="s">
        <v>1146</v>
      </c>
      <c r="O102" t="s">
        <v>29</v>
      </c>
      <c r="P102">
        <v>545</v>
      </c>
    </row>
    <row r="103" spans="2:16" x14ac:dyDescent="0.25">
      <c r="B103" t="s">
        <v>1186</v>
      </c>
      <c r="C103">
        <v>84090</v>
      </c>
      <c r="D103" t="s">
        <v>1186</v>
      </c>
      <c r="E103" t="s">
        <v>1186</v>
      </c>
      <c r="F103" t="s">
        <v>1047</v>
      </c>
      <c r="G103" t="s">
        <v>1047</v>
      </c>
      <c r="H103">
        <v>1</v>
      </c>
      <c r="I103">
        <v>1</v>
      </c>
      <c r="J103" t="s">
        <v>1146</v>
      </c>
      <c r="O103" t="s">
        <v>29</v>
      </c>
      <c r="P103">
        <v>545</v>
      </c>
    </row>
    <row r="104" spans="2:16" x14ac:dyDescent="0.25">
      <c r="B104" t="s">
        <v>1187</v>
      </c>
      <c r="C104">
        <v>85000</v>
      </c>
      <c r="D104" t="s">
        <v>1187</v>
      </c>
      <c r="E104" t="s">
        <v>1187</v>
      </c>
      <c r="F104" t="s">
        <v>1047</v>
      </c>
      <c r="G104" t="s">
        <v>1047</v>
      </c>
      <c r="H104">
        <v>1</v>
      </c>
      <c r="I104">
        <v>1</v>
      </c>
      <c r="J104" t="s">
        <v>1146</v>
      </c>
      <c r="O104" t="s">
        <v>29</v>
      </c>
      <c r="P104">
        <v>645</v>
      </c>
    </row>
    <row r="105" spans="2:16" x14ac:dyDescent="0.25">
      <c r="B105" t="s">
        <v>1188</v>
      </c>
      <c r="C105">
        <v>85005</v>
      </c>
      <c r="D105" t="s">
        <v>1188</v>
      </c>
      <c r="E105" t="s">
        <v>1188</v>
      </c>
      <c r="F105" t="s">
        <v>1047</v>
      </c>
      <c r="G105" t="s">
        <v>1047</v>
      </c>
      <c r="H105">
        <v>1</v>
      </c>
      <c r="I105">
        <v>1</v>
      </c>
      <c r="J105" t="s">
        <v>1146</v>
      </c>
      <c r="O105" t="s">
        <v>29</v>
      </c>
      <c r="P105">
        <v>679</v>
      </c>
    </row>
    <row r="106" spans="2:16" x14ac:dyDescent="0.25">
      <c r="B106" t="s">
        <v>1189</v>
      </c>
      <c r="C106">
        <v>85010</v>
      </c>
      <c r="D106" t="s">
        <v>1189</v>
      </c>
      <c r="E106" t="s">
        <v>1189</v>
      </c>
      <c r="F106" t="s">
        <v>1047</v>
      </c>
      <c r="G106" t="s">
        <v>1047</v>
      </c>
      <c r="H106">
        <v>1</v>
      </c>
      <c r="I106">
        <v>1</v>
      </c>
      <c r="J106" t="s">
        <v>1146</v>
      </c>
      <c r="O106" t="s">
        <v>29</v>
      </c>
      <c r="P106">
        <v>765</v>
      </c>
    </row>
    <row r="107" spans="2:16" x14ac:dyDescent="0.25">
      <c r="B107" t="s">
        <v>1190</v>
      </c>
      <c r="C107">
        <v>85015</v>
      </c>
      <c r="D107" t="s">
        <v>1190</v>
      </c>
      <c r="E107" t="s">
        <v>1190</v>
      </c>
      <c r="F107" t="s">
        <v>1047</v>
      </c>
      <c r="G107" t="s">
        <v>1047</v>
      </c>
      <c r="H107">
        <v>1</v>
      </c>
      <c r="I107">
        <v>1</v>
      </c>
      <c r="J107" t="s">
        <v>1146</v>
      </c>
      <c r="O107" t="s">
        <v>29</v>
      </c>
      <c r="P107">
        <v>781</v>
      </c>
    </row>
    <row r="108" spans="2:16" x14ac:dyDescent="0.25">
      <c r="B108" t="s">
        <v>1277</v>
      </c>
      <c r="C108">
        <v>85020</v>
      </c>
      <c r="D108" t="s">
        <v>1277</v>
      </c>
      <c r="E108" t="s">
        <v>1277</v>
      </c>
      <c r="F108" t="s">
        <v>1047</v>
      </c>
      <c r="G108" t="s">
        <v>1047</v>
      </c>
      <c r="H108">
        <v>1</v>
      </c>
      <c r="I108">
        <v>1</v>
      </c>
      <c r="J108" t="s">
        <v>1146</v>
      </c>
      <c r="O108" t="s">
        <v>29</v>
      </c>
      <c r="P108">
        <v>572</v>
      </c>
    </row>
    <row r="109" spans="2:16" x14ac:dyDescent="0.25">
      <c r="B109" t="s">
        <v>1278</v>
      </c>
      <c r="C109">
        <v>85025</v>
      </c>
      <c r="D109" t="s">
        <v>1278</v>
      </c>
      <c r="E109" t="s">
        <v>1278</v>
      </c>
      <c r="F109" t="s">
        <v>1047</v>
      </c>
      <c r="G109" t="s">
        <v>1047</v>
      </c>
      <c r="H109">
        <v>1</v>
      </c>
      <c r="I109">
        <v>1</v>
      </c>
      <c r="J109" t="s">
        <v>1146</v>
      </c>
      <c r="O109" t="s">
        <v>29</v>
      </c>
      <c r="P109">
        <v>604</v>
      </c>
    </row>
    <row r="110" spans="2:16" x14ac:dyDescent="0.25">
      <c r="B110" t="s">
        <v>1279</v>
      </c>
      <c r="C110">
        <v>85030</v>
      </c>
      <c r="D110" t="s">
        <v>1279</v>
      </c>
      <c r="E110" t="s">
        <v>1279</v>
      </c>
      <c r="F110" t="s">
        <v>1047</v>
      </c>
      <c r="G110" t="s">
        <v>1047</v>
      </c>
      <c r="H110">
        <v>1</v>
      </c>
      <c r="I110">
        <v>1</v>
      </c>
      <c r="J110" t="s">
        <v>1146</v>
      </c>
      <c r="O110" t="s">
        <v>29</v>
      </c>
      <c r="P110">
        <v>640</v>
      </c>
    </row>
    <row r="111" spans="2:16" x14ac:dyDescent="0.25">
      <c r="B111" t="s">
        <v>1280</v>
      </c>
      <c r="C111">
        <v>85035</v>
      </c>
      <c r="D111" t="s">
        <v>1280</v>
      </c>
      <c r="E111" t="s">
        <v>1280</v>
      </c>
      <c r="F111" t="s">
        <v>1047</v>
      </c>
      <c r="G111" t="s">
        <v>1047</v>
      </c>
      <c r="H111">
        <v>1</v>
      </c>
      <c r="I111">
        <v>1</v>
      </c>
      <c r="J111" t="s">
        <v>1146</v>
      </c>
      <c r="O111" t="s">
        <v>29</v>
      </c>
      <c r="P111">
        <v>685</v>
      </c>
    </row>
    <row r="112" spans="2:16" x14ac:dyDescent="0.25">
      <c r="B112" t="s">
        <v>1281</v>
      </c>
      <c r="C112">
        <v>85040</v>
      </c>
      <c r="D112" t="s">
        <v>1281</v>
      </c>
      <c r="E112" t="s">
        <v>1281</v>
      </c>
      <c r="F112" t="s">
        <v>1047</v>
      </c>
      <c r="G112" t="s">
        <v>1047</v>
      </c>
      <c r="H112">
        <v>1</v>
      </c>
      <c r="I112">
        <v>1</v>
      </c>
      <c r="J112" t="s">
        <v>1146</v>
      </c>
      <c r="O112" t="s">
        <v>29</v>
      </c>
      <c r="P112">
        <v>700</v>
      </c>
    </row>
    <row r="113" spans="2:16" x14ac:dyDescent="0.25">
      <c r="B113" t="s">
        <v>1282</v>
      </c>
      <c r="C113">
        <v>85045</v>
      </c>
      <c r="D113" t="s">
        <v>1282</v>
      </c>
      <c r="E113" t="s">
        <v>1282</v>
      </c>
      <c r="F113" t="s">
        <v>1047</v>
      </c>
      <c r="G113" t="s">
        <v>1047</v>
      </c>
      <c r="H113">
        <v>1</v>
      </c>
      <c r="I113">
        <v>1</v>
      </c>
      <c r="J113" t="s">
        <v>1146</v>
      </c>
      <c r="O113" t="s">
        <v>29</v>
      </c>
      <c r="P113">
        <v>743</v>
      </c>
    </row>
    <row r="114" spans="2:16" x14ac:dyDescent="0.25">
      <c r="B114" t="s">
        <v>1283</v>
      </c>
      <c r="C114">
        <v>85050</v>
      </c>
      <c r="D114" t="s">
        <v>1283</v>
      </c>
      <c r="E114" t="s">
        <v>1283</v>
      </c>
      <c r="F114" t="s">
        <v>1047</v>
      </c>
      <c r="G114" t="s">
        <v>1047</v>
      </c>
      <c r="H114">
        <v>1</v>
      </c>
      <c r="I114">
        <v>1</v>
      </c>
      <c r="J114" t="s">
        <v>1146</v>
      </c>
      <c r="O114" t="s">
        <v>29</v>
      </c>
      <c r="P114">
        <v>951</v>
      </c>
    </row>
    <row r="115" spans="2:16" x14ac:dyDescent="0.25">
      <c r="B115" t="s">
        <v>1284</v>
      </c>
      <c r="C115">
        <v>85055</v>
      </c>
      <c r="D115" t="s">
        <v>1284</v>
      </c>
      <c r="E115" t="s">
        <v>1284</v>
      </c>
      <c r="F115" t="s">
        <v>1047</v>
      </c>
      <c r="G115" t="s">
        <v>1047</v>
      </c>
      <c r="H115">
        <v>1</v>
      </c>
      <c r="I115">
        <v>1</v>
      </c>
      <c r="J115" t="s">
        <v>1146</v>
      </c>
      <c r="O115" t="s">
        <v>29</v>
      </c>
      <c r="P115">
        <v>950</v>
      </c>
    </row>
    <row r="116" spans="2:16" x14ac:dyDescent="0.25">
      <c r="B116" t="s">
        <v>1148</v>
      </c>
      <c r="C116">
        <v>85060</v>
      </c>
      <c r="D116" t="s">
        <v>1148</v>
      </c>
      <c r="E116" t="s">
        <v>1148</v>
      </c>
      <c r="F116" t="s">
        <v>1047</v>
      </c>
      <c r="G116" t="s">
        <v>1047</v>
      </c>
      <c r="H116">
        <v>1</v>
      </c>
      <c r="I116">
        <v>1</v>
      </c>
      <c r="J116" t="s">
        <v>1146</v>
      </c>
      <c r="O116" t="s">
        <v>29</v>
      </c>
      <c r="P116">
        <v>285</v>
      </c>
    </row>
    <row r="117" spans="2:16" x14ac:dyDescent="0.25">
      <c r="B117" t="s">
        <v>1149</v>
      </c>
      <c r="C117">
        <v>85065</v>
      </c>
      <c r="D117" t="s">
        <v>1149</v>
      </c>
      <c r="E117" t="s">
        <v>1149</v>
      </c>
      <c r="F117" t="s">
        <v>1047</v>
      </c>
      <c r="G117" t="s">
        <v>1047</v>
      </c>
      <c r="H117">
        <v>1</v>
      </c>
      <c r="I117">
        <v>1</v>
      </c>
      <c r="J117" t="s">
        <v>1146</v>
      </c>
      <c r="O117" t="s">
        <v>29</v>
      </c>
      <c r="P117">
        <v>277</v>
      </c>
    </row>
    <row r="118" spans="2:16" x14ac:dyDescent="0.25">
      <c r="B118" t="s">
        <v>1150</v>
      </c>
      <c r="C118">
        <v>85070</v>
      </c>
      <c r="D118" t="s">
        <v>1150</v>
      </c>
      <c r="E118" t="s">
        <v>1150</v>
      </c>
      <c r="F118" t="s">
        <v>1047</v>
      </c>
      <c r="G118" t="s">
        <v>1047</v>
      </c>
      <c r="H118">
        <v>1</v>
      </c>
      <c r="I118">
        <v>1</v>
      </c>
      <c r="J118" t="s">
        <v>1146</v>
      </c>
      <c r="O118" t="s">
        <v>29</v>
      </c>
      <c r="P118">
        <v>367</v>
      </c>
    </row>
    <row r="119" spans="2:16" x14ac:dyDescent="0.25">
      <c r="B119" t="s">
        <v>1151</v>
      </c>
      <c r="C119">
        <v>85075</v>
      </c>
      <c r="D119" t="s">
        <v>1151</v>
      </c>
      <c r="E119" t="s">
        <v>1151</v>
      </c>
      <c r="F119" t="s">
        <v>1047</v>
      </c>
      <c r="G119" t="s">
        <v>1047</v>
      </c>
      <c r="H119">
        <v>1</v>
      </c>
      <c r="I119">
        <v>1</v>
      </c>
      <c r="J119" t="s">
        <v>1146</v>
      </c>
      <c r="O119" t="s">
        <v>29</v>
      </c>
      <c r="P119">
        <v>371</v>
      </c>
    </row>
    <row r="120" spans="2:16" x14ac:dyDescent="0.25">
      <c r="B120" t="s">
        <v>1603</v>
      </c>
      <c r="C120">
        <v>86000</v>
      </c>
      <c r="D120" t="s">
        <v>1603</v>
      </c>
      <c r="E120" t="s">
        <v>1603</v>
      </c>
      <c r="F120" t="s">
        <v>1047</v>
      </c>
      <c r="G120" t="s">
        <v>1047</v>
      </c>
      <c r="H120">
        <v>1</v>
      </c>
      <c r="I120">
        <v>1</v>
      </c>
      <c r="J120" t="s">
        <v>1581</v>
      </c>
      <c r="O120" t="s">
        <v>29</v>
      </c>
      <c r="P120">
        <v>817</v>
      </c>
    </row>
    <row r="121" spans="2:16" x14ac:dyDescent="0.25">
      <c r="B121" t="s">
        <v>1604</v>
      </c>
      <c r="C121">
        <v>86005</v>
      </c>
      <c r="D121" t="s">
        <v>1604</v>
      </c>
      <c r="E121" t="s">
        <v>1604</v>
      </c>
      <c r="F121" t="s">
        <v>1047</v>
      </c>
      <c r="G121" t="s">
        <v>1047</v>
      </c>
      <c r="H121">
        <v>1</v>
      </c>
      <c r="I121">
        <v>1</v>
      </c>
      <c r="J121" t="s">
        <v>1581</v>
      </c>
      <c r="O121" t="s">
        <v>29</v>
      </c>
      <c r="P121">
        <v>817</v>
      </c>
    </row>
    <row r="122" spans="2:16" x14ac:dyDescent="0.25">
      <c r="B122" t="s">
        <v>1605</v>
      </c>
      <c r="C122">
        <v>86010</v>
      </c>
      <c r="D122" t="s">
        <v>1605</v>
      </c>
      <c r="E122" t="s">
        <v>1605</v>
      </c>
      <c r="F122" t="s">
        <v>1047</v>
      </c>
      <c r="G122" t="s">
        <v>1047</v>
      </c>
      <c r="H122">
        <v>1</v>
      </c>
      <c r="I122">
        <v>1</v>
      </c>
      <c r="J122" t="s">
        <v>1581</v>
      </c>
      <c r="O122" t="s">
        <v>29</v>
      </c>
      <c r="P122">
        <v>800</v>
      </c>
    </row>
    <row r="123" spans="2:16" x14ac:dyDescent="0.25">
      <c r="B123" t="s">
        <v>1606</v>
      </c>
      <c r="C123">
        <v>86015</v>
      </c>
      <c r="D123" t="s">
        <v>1606</v>
      </c>
      <c r="E123" t="s">
        <v>1606</v>
      </c>
      <c r="F123" t="s">
        <v>1047</v>
      </c>
      <c r="G123" t="s">
        <v>1047</v>
      </c>
      <c r="H123">
        <v>1</v>
      </c>
      <c r="I123">
        <v>1</v>
      </c>
      <c r="J123" t="s">
        <v>1581</v>
      </c>
      <c r="O123" t="s">
        <v>29</v>
      </c>
      <c r="P123">
        <v>903</v>
      </c>
    </row>
    <row r="124" spans="2:16" x14ac:dyDescent="0.25">
      <c r="B124" t="s">
        <v>1607</v>
      </c>
      <c r="C124">
        <v>86020</v>
      </c>
      <c r="D124" t="s">
        <v>1607</v>
      </c>
      <c r="E124" t="s">
        <v>1607</v>
      </c>
      <c r="F124" t="s">
        <v>1047</v>
      </c>
      <c r="G124" t="s">
        <v>1047</v>
      </c>
      <c r="H124">
        <v>1</v>
      </c>
      <c r="I124">
        <v>1</v>
      </c>
      <c r="J124" t="s">
        <v>1581</v>
      </c>
      <c r="O124" t="s">
        <v>29</v>
      </c>
      <c r="P124">
        <v>1129</v>
      </c>
    </row>
    <row r="125" spans="2:16" x14ac:dyDescent="0.25">
      <c r="B125" t="s">
        <v>1608</v>
      </c>
      <c r="C125">
        <v>86025</v>
      </c>
      <c r="D125" t="s">
        <v>1608</v>
      </c>
      <c r="E125" t="s">
        <v>1608</v>
      </c>
      <c r="F125" t="s">
        <v>1047</v>
      </c>
      <c r="G125" t="s">
        <v>1047</v>
      </c>
      <c r="H125">
        <v>1</v>
      </c>
      <c r="I125">
        <v>1</v>
      </c>
      <c r="J125" t="s">
        <v>1581</v>
      </c>
      <c r="O125" t="s">
        <v>29</v>
      </c>
      <c r="P125">
        <v>1195</v>
      </c>
    </row>
    <row r="126" spans="2:16" x14ac:dyDescent="0.25">
      <c r="B126" t="s">
        <v>1609</v>
      </c>
      <c r="C126">
        <v>86030</v>
      </c>
      <c r="D126" t="s">
        <v>1609</v>
      </c>
      <c r="E126" t="s">
        <v>1609</v>
      </c>
      <c r="F126" t="s">
        <v>1047</v>
      </c>
      <c r="G126" t="s">
        <v>1047</v>
      </c>
      <c r="H126">
        <v>1</v>
      </c>
      <c r="I126">
        <v>1</v>
      </c>
      <c r="J126" t="s">
        <v>1581</v>
      </c>
      <c r="O126" t="s">
        <v>29</v>
      </c>
      <c r="P126">
        <v>1280</v>
      </c>
    </row>
    <row r="127" spans="2:16" x14ac:dyDescent="0.25">
      <c r="B127" t="s">
        <v>1589</v>
      </c>
      <c r="C127">
        <v>86100</v>
      </c>
      <c r="D127" t="s">
        <v>1589</v>
      </c>
      <c r="E127" t="s">
        <v>1589</v>
      </c>
      <c r="F127" t="s">
        <v>1047</v>
      </c>
      <c r="G127" t="s">
        <v>1047</v>
      </c>
      <c r="H127">
        <v>1</v>
      </c>
      <c r="I127">
        <v>1</v>
      </c>
      <c r="J127" t="s">
        <v>1581</v>
      </c>
      <c r="O127" t="s">
        <v>29</v>
      </c>
      <c r="P127">
        <v>942</v>
      </c>
    </row>
    <row r="128" spans="2:16" x14ac:dyDescent="0.25">
      <c r="B128" t="s">
        <v>1590</v>
      </c>
      <c r="C128">
        <v>86105</v>
      </c>
      <c r="D128" t="s">
        <v>1590</v>
      </c>
      <c r="E128" t="s">
        <v>1590</v>
      </c>
      <c r="F128" t="s">
        <v>1047</v>
      </c>
      <c r="G128" t="s">
        <v>1047</v>
      </c>
      <c r="H128">
        <v>1</v>
      </c>
      <c r="I128">
        <v>1</v>
      </c>
      <c r="J128" t="s">
        <v>1581</v>
      </c>
      <c r="O128" t="s">
        <v>29</v>
      </c>
      <c r="P128">
        <v>992</v>
      </c>
    </row>
    <row r="129" spans="2:16" x14ac:dyDescent="0.25">
      <c r="B129" t="s">
        <v>1591</v>
      </c>
      <c r="C129">
        <v>86110</v>
      </c>
      <c r="D129" t="s">
        <v>1591</v>
      </c>
      <c r="E129" t="s">
        <v>1591</v>
      </c>
      <c r="F129" t="s">
        <v>1047</v>
      </c>
      <c r="G129" t="s">
        <v>1047</v>
      </c>
      <c r="H129">
        <v>1</v>
      </c>
      <c r="I129">
        <v>1</v>
      </c>
      <c r="J129" t="s">
        <v>1581</v>
      </c>
      <c r="O129" t="s">
        <v>29</v>
      </c>
      <c r="P129">
        <v>1021</v>
      </c>
    </row>
    <row r="130" spans="2:16" x14ac:dyDescent="0.25">
      <c r="B130" t="s">
        <v>1592</v>
      </c>
      <c r="C130">
        <v>86115</v>
      </c>
      <c r="D130" t="s">
        <v>1592</v>
      </c>
      <c r="E130" t="s">
        <v>1592</v>
      </c>
      <c r="F130" t="s">
        <v>1047</v>
      </c>
      <c r="G130" t="s">
        <v>1047</v>
      </c>
      <c r="H130">
        <v>1</v>
      </c>
      <c r="I130">
        <v>1</v>
      </c>
      <c r="J130" t="s">
        <v>1581</v>
      </c>
      <c r="O130" t="s">
        <v>29</v>
      </c>
      <c r="P130">
        <v>1135</v>
      </c>
    </row>
    <row r="131" spans="2:16" x14ac:dyDescent="0.25">
      <c r="B131" t="s">
        <v>1593</v>
      </c>
      <c r="C131">
        <v>86120</v>
      </c>
      <c r="D131" t="s">
        <v>1593</v>
      </c>
      <c r="E131" t="s">
        <v>1593</v>
      </c>
      <c r="F131" t="s">
        <v>1047</v>
      </c>
      <c r="G131" t="s">
        <v>1047</v>
      </c>
      <c r="H131">
        <v>1</v>
      </c>
      <c r="I131">
        <v>1</v>
      </c>
      <c r="J131" t="s">
        <v>1581</v>
      </c>
      <c r="O131" t="s">
        <v>29</v>
      </c>
      <c r="P131">
        <v>1278</v>
      </c>
    </row>
    <row r="132" spans="2:16" x14ac:dyDescent="0.25">
      <c r="B132" t="s">
        <v>1594</v>
      </c>
      <c r="C132">
        <v>86125</v>
      </c>
      <c r="D132" t="s">
        <v>1594</v>
      </c>
      <c r="E132" t="s">
        <v>1594</v>
      </c>
      <c r="F132" t="s">
        <v>1047</v>
      </c>
      <c r="G132" t="s">
        <v>1047</v>
      </c>
      <c r="H132">
        <v>1</v>
      </c>
      <c r="I132">
        <v>1</v>
      </c>
      <c r="J132" t="s">
        <v>1581</v>
      </c>
      <c r="O132" t="s">
        <v>29</v>
      </c>
      <c r="P132">
        <v>1306</v>
      </c>
    </row>
    <row r="133" spans="2:16" x14ac:dyDescent="0.25">
      <c r="B133" t="s">
        <v>1595</v>
      </c>
      <c r="C133">
        <v>86130</v>
      </c>
      <c r="D133" t="s">
        <v>1595</v>
      </c>
      <c r="E133" t="s">
        <v>1595</v>
      </c>
      <c r="F133" t="s">
        <v>1047</v>
      </c>
      <c r="G133" t="s">
        <v>1047</v>
      </c>
      <c r="H133">
        <v>1</v>
      </c>
      <c r="I133">
        <v>1</v>
      </c>
      <c r="J133" t="s">
        <v>1581</v>
      </c>
      <c r="O133" t="s">
        <v>29</v>
      </c>
      <c r="P133">
        <v>1491</v>
      </c>
    </row>
    <row r="134" spans="2:16" x14ac:dyDescent="0.25">
      <c r="B134" t="s">
        <v>1596</v>
      </c>
      <c r="C134">
        <v>86200</v>
      </c>
      <c r="D134" t="s">
        <v>1596</v>
      </c>
      <c r="E134" t="s">
        <v>1596</v>
      </c>
      <c r="F134" t="s">
        <v>1047</v>
      </c>
      <c r="G134" t="s">
        <v>1047</v>
      </c>
      <c r="H134">
        <v>1</v>
      </c>
      <c r="I134">
        <v>1</v>
      </c>
      <c r="J134" t="s">
        <v>1581</v>
      </c>
      <c r="O134" t="s">
        <v>29</v>
      </c>
      <c r="P134">
        <v>596</v>
      </c>
    </row>
    <row r="135" spans="2:16" x14ac:dyDescent="0.25">
      <c r="B135" t="s">
        <v>1597</v>
      </c>
      <c r="C135">
        <v>86205</v>
      </c>
      <c r="D135" t="s">
        <v>1597</v>
      </c>
      <c r="E135" t="s">
        <v>1597</v>
      </c>
      <c r="F135" t="s">
        <v>1047</v>
      </c>
      <c r="G135" t="s">
        <v>1047</v>
      </c>
      <c r="H135">
        <v>1</v>
      </c>
      <c r="I135">
        <v>1</v>
      </c>
      <c r="J135" t="s">
        <v>1581</v>
      </c>
      <c r="O135" t="s">
        <v>29</v>
      </c>
      <c r="P135">
        <v>635</v>
      </c>
    </row>
    <row r="136" spans="2:16" x14ac:dyDescent="0.25">
      <c r="B136" t="s">
        <v>1598</v>
      </c>
      <c r="C136">
        <v>86210</v>
      </c>
      <c r="D136" t="s">
        <v>1598</v>
      </c>
      <c r="E136" t="s">
        <v>1598</v>
      </c>
      <c r="F136" t="s">
        <v>1047</v>
      </c>
      <c r="G136" t="s">
        <v>1047</v>
      </c>
      <c r="H136">
        <v>1</v>
      </c>
      <c r="I136">
        <v>1</v>
      </c>
      <c r="J136" t="s">
        <v>1581</v>
      </c>
      <c r="O136" t="s">
        <v>29</v>
      </c>
      <c r="P136">
        <v>670</v>
      </c>
    </row>
    <row r="137" spans="2:16" x14ac:dyDescent="0.25">
      <c r="B137" t="s">
        <v>1599</v>
      </c>
      <c r="C137">
        <v>86215</v>
      </c>
      <c r="D137" t="s">
        <v>1599</v>
      </c>
      <c r="E137" t="s">
        <v>1599</v>
      </c>
      <c r="F137" t="s">
        <v>1047</v>
      </c>
      <c r="G137" t="s">
        <v>1047</v>
      </c>
      <c r="H137">
        <v>1</v>
      </c>
      <c r="I137">
        <v>1</v>
      </c>
      <c r="J137" t="s">
        <v>1581</v>
      </c>
      <c r="O137" t="s">
        <v>29</v>
      </c>
      <c r="P137">
        <v>764</v>
      </c>
    </row>
    <row r="138" spans="2:16" x14ac:dyDescent="0.25">
      <c r="B138" t="s">
        <v>1600</v>
      </c>
      <c r="C138">
        <v>86220</v>
      </c>
      <c r="D138" t="s">
        <v>1600</v>
      </c>
      <c r="E138" t="s">
        <v>1600</v>
      </c>
      <c r="F138" t="s">
        <v>1047</v>
      </c>
      <c r="G138" t="s">
        <v>1047</v>
      </c>
      <c r="H138">
        <v>1</v>
      </c>
      <c r="I138">
        <v>1</v>
      </c>
      <c r="J138" t="s">
        <v>1581</v>
      </c>
      <c r="O138" t="s">
        <v>29</v>
      </c>
      <c r="P138">
        <v>805</v>
      </c>
    </row>
    <row r="139" spans="2:16" x14ac:dyDescent="0.25">
      <c r="B139" t="s">
        <v>1601</v>
      </c>
      <c r="C139">
        <v>86225</v>
      </c>
      <c r="D139" t="s">
        <v>1601</v>
      </c>
      <c r="E139" t="s">
        <v>1601</v>
      </c>
      <c r="F139" t="s">
        <v>1047</v>
      </c>
      <c r="G139" t="s">
        <v>1047</v>
      </c>
      <c r="H139">
        <v>1</v>
      </c>
      <c r="I139">
        <v>1</v>
      </c>
      <c r="J139" t="s">
        <v>1581</v>
      </c>
      <c r="O139" t="s">
        <v>29</v>
      </c>
      <c r="P139">
        <v>879</v>
      </c>
    </row>
    <row r="140" spans="2:16" x14ac:dyDescent="0.25">
      <c r="B140" t="s">
        <v>1602</v>
      </c>
      <c r="C140">
        <v>86230</v>
      </c>
      <c r="D140" t="s">
        <v>1602</v>
      </c>
      <c r="E140" t="s">
        <v>1602</v>
      </c>
      <c r="F140" t="s">
        <v>1047</v>
      </c>
      <c r="G140" t="s">
        <v>1047</v>
      </c>
      <c r="H140">
        <v>1</v>
      </c>
      <c r="I140">
        <v>1</v>
      </c>
      <c r="J140" t="s">
        <v>1581</v>
      </c>
      <c r="O140" t="s">
        <v>29</v>
      </c>
      <c r="P140">
        <v>999</v>
      </c>
    </row>
    <row r="141" spans="2:16" x14ac:dyDescent="0.25">
      <c r="B141" t="s">
        <v>1582</v>
      </c>
      <c r="C141">
        <v>86300</v>
      </c>
      <c r="D141" t="s">
        <v>1582</v>
      </c>
      <c r="E141" t="s">
        <v>1582</v>
      </c>
      <c r="F141" t="s">
        <v>1047</v>
      </c>
      <c r="G141" t="s">
        <v>1047</v>
      </c>
      <c r="H141">
        <v>1</v>
      </c>
      <c r="I141">
        <v>1</v>
      </c>
      <c r="J141" t="s">
        <v>1581</v>
      </c>
      <c r="O141" t="s">
        <v>29</v>
      </c>
      <c r="P141">
        <v>696</v>
      </c>
    </row>
    <row r="142" spans="2:16" x14ac:dyDescent="0.25">
      <c r="B142" t="s">
        <v>1583</v>
      </c>
      <c r="C142">
        <v>86305</v>
      </c>
      <c r="D142" t="s">
        <v>1583</v>
      </c>
      <c r="E142" t="s">
        <v>1583</v>
      </c>
      <c r="F142" t="s">
        <v>1047</v>
      </c>
      <c r="G142" t="s">
        <v>1047</v>
      </c>
      <c r="H142">
        <v>1</v>
      </c>
      <c r="I142">
        <v>1</v>
      </c>
      <c r="J142" t="s">
        <v>1581</v>
      </c>
      <c r="O142" t="s">
        <v>29</v>
      </c>
      <c r="P142">
        <v>726</v>
      </c>
    </row>
    <row r="143" spans="2:16" x14ac:dyDescent="0.25">
      <c r="B143" t="s">
        <v>1584</v>
      </c>
      <c r="C143">
        <v>86310</v>
      </c>
      <c r="D143" t="s">
        <v>1584</v>
      </c>
      <c r="E143" t="s">
        <v>1584</v>
      </c>
      <c r="F143" t="s">
        <v>1047</v>
      </c>
      <c r="G143" t="s">
        <v>1047</v>
      </c>
      <c r="H143">
        <v>1</v>
      </c>
      <c r="I143">
        <v>1</v>
      </c>
      <c r="J143" t="s">
        <v>1581</v>
      </c>
      <c r="O143" t="s">
        <v>29</v>
      </c>
      <c r="P143">
        <v>814</v>
      </c>
    </row>
    <row r="144" spans="2:16" x14ac:dyDescent="0.25">
      <c r="B144" t="s">
        <v>1585</v>
      </c>
      <c r="C144">
        <v>86315</v>
      </c>
      <c r="D144" t="s">
        <v>1585</v>
      </c>
      <c r="E144" t="s">
        <v>1585</v>
      </c>
      <c r="F144" t="s">
        <v>1047</v>
      </c>
      <c r="G144" t="s">
        <v>1047</v>
      </c>
      <c r="H144">
        <v>1</v>
      </c>
      <c r="I144">
        <v>1</v>
      </c>
      <c r="J144" t="s">
        <v>1581</v>
      </c>
      <c r="O144" t="s">
        <v>29</v>
      </c>
      <c r="P144">
        <v>877</v>
      </c>
    </row>
    <row r="145" spans="2:16" x14ac:dyDescent="0.25">
      <c r="B145" t="s">
        <v>1586</v>
      </c>
      <c r="C145">
        <v>86320</v>
      </c>
      <c r="D145" t="s">
        <v>1586</v>
      </c>
      <c r="E145" t="s">
        <v>1586</v>
      </c>
      <c r="F145" t="s">
        <v>1047</v>
      </c>
      <c r="G145" t="s">
        <v>1047</v>
      </c>
      <c r="H145">
        <v>1</v>
      </c>
      <c r="I145">
        <v>1</v>
      </c>
      <c r="J145" t="s">
        <v>1581</v>
      </c>
      <c r="O145" t="s">
        <v>29</v>
      </c>
      <c r="P145">
        <v>965</v>
      </c>
    </row>
    <row r="146" spans="2:16" x14ac:dyDescent="0.25">
      <c r="B146" t="s">
        <v>1587</v>
      </c>
      <c r="C146">
        <v>86325</v>
      </c>
      <c r="D146" t="s">
        <v>1587</v>
      </c>
      <c r="E146" t="s">
        <v>1587</v>
      </c>
      <c r="F146" t="s">
        <v>1047</v>
      </c>
      <c r="G146" t="s">
        <v>1047</v>
      </c>
      <c r="H146">
        <v>1</v>
      </c>
      <c r="I146">
        <v>1</v>
      </c>
      <c r="J146" t="s">
        <v>1581</v>
      </c>
      <c r="O146" t="s">
        <v>29</v>
      </c>
      <c r="P146">
        <v>1050</v>
      </c>
    </row>
    <row r="147" spans="2:16" x14ac:dyDescent="0.25">
      <c r="B147" t="s">
        <v>1588</v>
      </c>
      <c r="C147">
        <v>86330</v>
      </c>
      <c r="D147" t="s">
        <v>1588</v>
      </c>
      <c r="E147" t="s">
        <v>1588</v>
      </c>
      <c r="F147" t="s">
        <v>1047</v>
      </c>
      <c r="G147" t="s">
        <v>1047</v>
      </c>
      <c r="H147">
        <v>1</v>
      </c>
      <c r="I147">
        <v>1</v>
      </c>
      <c r="J147" t="s">
        <v>1581</v>
      </c>
      <c r="O147" t="s">
        <v>29</v>
      </c>
      <c r="P147">
        <v>1346</v>
      </c>
    </row>
    <row r="148" spans="2:16" x14ac:dyDescent="0.25">
      <c r="B148" t="s">
        <v>1206</v>
      </c>
      <c r="C148">
        <v>87000</v>
      </c>
      <c r="D148" t="s">
        <v>1206</v>
      </c>
      <c r="E148" t="s">
        <v>1206</v>
      </c>
      <c r="F148" t="s">
        <v>1047</v>
      </c>
      <c r="G148" t="s">
        <v>1047</v>
      </c>
      <c r="H148">
        <v>1</v>
      </c>
      <c r="I148">
        <v>1</v>
      </c>
      <c r="J148" t="s">
        <v>1146</v>
      </c>
      <c r="O148" t="s">
        <v>29</v>
      </c>
      <c r="P148">
        <v>420</v>
      </c>
    </row>
    <row r="149" spans="2:16" x14ac:dyDescent="0.25">
      <c r="B149" t="s">
        <v>1207</v>
      </c>
      <c r="C149">
        <v>87010</v>
      </c>
      <c r="D149" t="s">
        <v>1207</v>
      </c>
      <c r="E149" t="s">
        <v>1207</v>
      </c>
      <c r="F149" t="s">
        <v>1047</v>
      </c>
      <c r="G149" t="s">
        <v>1047</v>
      </c>
      <c r="H149">
        <v>1</v>
      </c>
      <c r="I149">
        <v>1</v>
      </c>
      <c r="J149" t="s">
        <v>1146</v>
      </c>
      <c r="O149" t="s">
        <v>29</v>
      </c>
      <c r="P149">
        <v>435</v>
      </c>
    </row>
    <row r="150" spans="2:16" x14ac:dyDescent="0.25">
      <c r="B150" t="s">
        <v>1208</v>
      </c>
      <c r="C150">
        <v>87020</v>
      </c>
      <c r="D150" t="s">
        <v>1208</v>
      </c>
      <c r="E150" t="s">
        <v>1208</v>
      </c>
      <c r="F150" t="s">
        <v>1047</v>
      </c>
      <c r="G150" t="s">
        <v>1047</v>
      </c>
      <c r="H150">
        <v>1</v>
      </c>
      <c r="I150">
        <v>1</v>
      </c>
      <c r="J150" t="s">
        <v>1146</v>
      </c>
      <c r="O150" t="s">
        <v>29</v>
      </c>
      <c r="P150">
        <v>470</v>
      </c>
    </row>
    <row r="151" spans="2:16" x14ac:dyDescent="0.25">
      <c r="B151" t="s">
        <v>1209</v>
      </c>
      <c r="C151">
        <v>87030</v>
      </c>
      <c r="D151" t="s">
        <v>1209</v>
      </c>
      <c r="E151" t="s">
        <v>1209</v>
      </c>
      <c r="F151" t="s">
        <v>1047</v>
      </c>
      <c r="G151" t="s">
        <v>1047</v>
      </c>
      <c r="H151">
        <v>1</v>
      </c>
      <c r="I151">
        <v>1</v>
      </c>
      <c r="J151" t="s">
        <v>1146</v>
      </c>
      <c r="O151" t="s">
        <v>29</v>
      </c>
      <c r="P151">
        <v>500</v>
      </c>
    </row>
    <row r="152" spans="2:16" x14ac:dyDescent="0.25">
      <c r="B152" t="s">
        <v>1210</v>
      </c>
      <c r="C152">
        <v>87040</v>
      </c>
      <c r="D152" t="s">
        <v>1210</v>
      </c>
      <c r="E152" t="s">
        <v>1210</v>
      </c>
      <c r="F152" t="s">
        <v>1047</v>
      </c>
      <c r="G152" t="s">
        <v>1047</v>
      </c>
      <c r="H152">
        <v>1</v>
      </c>
      <c r="I152">
        <v>1</v>
      </c>
      <c r="J152" t="s">
        <v>1146</v>
      </c>
      <c r="O152" t="s">
        <v>29</v>
      </c>
      <c r="P152">
        <v>550</v>
      </c>
    </row>
    <row r="153" spans="2:16" x14ac:dyDescent="0.25">
      <c r="B153" t="s">
        <v>1211</v>
      </c>
      <c r="C153">
        <v>87050</v>
      </c>
      <c r="D153" t="s">
        <v>1211</v>
      </c>
      <c r="E153" t="s">
        <v>1211</v>
      </c>
      <c r="F153" t="s">
        <v>1047</v>
      </c>
      <c r="G153" t="s">
        <v>1047</v>
      </c>
      <c r="H153">
        <v>1</v>
      </c>
      <c r="I153">
        <v>1</v>
      </c>
      <c r="J153" t="s">
        <v>1146</v>
      </c>
      <c r="O153" t="s">
        <v>29</v>
      </c>
      <c r="P153">
        <v>625</v>
      </c>
    </row>
    <row r="154" spans="2:16" x14ac:dyDescent="0.25">
      <c r="B154" t="s">
        <v>1212</v>
      </c>
      <c r="C154">
        <v>87060</v>
      </c>
      <c r="D154" t="s">
        <v>1212</v>
      </c>
      <c r="E154" t="s">
        <v>1212</v>
      </c>
      <c r="F154" t="s">
        <v>1047</v>
      </c>
      <c r="G154" t="s">
        <v>1047</v>
      </c>
      <c r="H154">
        <v>1</v>
      </c>
      <c r="I154">
        <v>1</v>
      </c>
      <c r="J154" t="s">
        <v>1146</v>
      </c>
      <c r="O154" t="s">
        <v>29</v>
      </c>
      <c r="P154">
        <v>725</v>
      </c>
    </row>
    <row r="155" spans="2:16" x14ac:dyDescent="0.25">
      <c r="B155" t="s">
        <v>1264</v>
      </c>
      <c r="C155">
        <v>87100</v>
      </c>
      <c r="D155" t="s">
        <v>1264</v>
      </c>
      <c r="E155" t="s">
        <v>1264</v>
      </c>
      <c r="F155" t="s">
        <v>1047</v>
      </c>
      <c r="G155" t="s">
        <v>1047</v>
      </c>
      <c r="H155">
        <v>1</v>
      </c>
      <c r="I155">
        <v>1</v>
      </c>
      <c r="J155" t="s">
        <v>1146</v>
      </c>
      <c r="O155" t="s">
        <v>29</v>
      </c>
      <c r="P155">
        <v>443</v>
      </c>
    </row>
    <row r="156" spans="2:16" x14ac:dyDescent="0.25">
      <c r="B156" t="s">
        <v>1265</v>
      </c>
      <c r="C156">
        <v>87110</v>
      </c>
      <c r="D156" t="s">
        <v>1265</v>
      </c>
      <c r="E156" t="s">
        <v>1265</v>
      </c>
      <c r="F156" t="s">
        <v>1047</v>
      </c>
      <c r="G156" t="s">
        <v>1047</v>
      </c>
      <c r="H156">
        <v>1</v>
      </c>
      <c r="I156">
        <v>1</v>
      </c>
      <c r="J156" t="s">
        <v>1146</v>
      </c>
      <c r="O156" t="s">
        <v>29</v>
      </c>
      <c r="P156">
        <v>464</v>
      </c>
    </row>
    <row r="157" spans="2:16" x14ac:dyDescent="0.25">
      <c r="B157" t="s">
        <v>1266</v>
      </c>
      <c r="C157">
        <v>87120</v>
      </c>
      <c r="D157" t="s">
        <v>1266</v>
      </c>
      <c r="E157" t="s">
        <v>1266</v>
      </c>
      <c r="F157" t="s">
        <v>1047</v>
      </c>
      <c r="G157" t="s">
        <v>1047</v>
      </c>
      <c r="H157">
        <v>1</v>
      </c>
      <c r="I157">
        <v>1</v>
      </c>
      <c r="J157" t="s">
        <v>1146</v>
      </c>
      <c r="O157" t="s">
        <v>29</v>
      </c>
      <c r="P157">
        <v>464</v>
      </c>
    </row>
    <row r="158" spans="2:16" x14ac:dyDescent="0.25">
      <c r="B158" t="s">
        <v>1267</v>
      </c>
      <c r="C158">
        <v>87130</v>
      </c>
      <c r="D158" t="s">
        <v>1267</v>
      </c>
      <c r="E158" t="s">
        <v>1267</v>
      </c>
      <c r="F158" t="s">
        <v>1047</v>
      </c>
      <c r="G158" t="s">
        <v>1047</v>
      </c>
      <c r="H158">
        <v>1</v>
      </c>
      <c r="I158">
        <v>1</v>
      </c>
      <c r="J158" t="s">
        <v>1146</v>
      </c>
      <c r="O158" t="s">
        <v>29</v>
      </c>
      <c r="P158">
        <v>515</v>
      </c>
    </row>
    <row r="159" spans="2:16" x14ac:dyDescent="0.25">
      <c r="B159" t="s">
        <v>1268</v>
      </c>
      <c r="C159">
        <v>87140</v>
      </c>
      <c r="D159" t="s">
        <v>1268</v>
      </c>
      <c r="E159" t="s">
        <v>1268</v>
      </c>
      <c r="F159" t="s">
        <v>1047</v>
      </c>
      <c r="G159" t="s">
        <v>1047</v>
      </c>
      <c r="H159">
        <v>1</v>
      </c>
      <c r="I159">
        <v>1</v>
      </c>
      <c r="J159" t="s">
        <v>1146</v>
      </c>
      <c r="O159" t="s">
        <v>29</v>
      </c>
      <c r="P159">
        <v>541</v>
      </c>
    </row>
    <row r="160" spans="2:16" x14ac:dyDescent="0.25">
      <c r="B160" t="s">
        <v>1269</v>
      </c>
      <c r="C160">
        <v>87150</v>
      </c>
      <c r="D160" t="s">
        <v>1269</v>
      </c>
      <c r="E160" t="s">
        <v>1269</v>
      </c>
      <c r="F160" t="s">
        <v>1047</v>
      </c>
      <c r="G160" t="s">
        <v>1047</v>
      </c>
      <c r="H160">
        <v>1</v>
      </c>
      <c r="I160">
        <v>1</v>
      </c>
      <c r="J160" t="s">
        <v>1146</v>
      </c>
      <c r="O160" t="s">
        <v>29</v>
      </c>
      <c r="P160">
        <v>556</v>
      </c>
    </row>
    <row r="161" spans="2:16" x14ac:dyDescent="0.25">
      <c r="B161" t="s">
        <v>1270</v>
      </c>
      <c r="C161">
        <v>87160</v>
      </c>
      <c r="D161" t="s">
        <v>1270</v>
      </c>
      <c r="E161" t="s">
        <v>1270</v>
      </c>
      <c r="F161" t="s">
        <v>1047</v>
      </c>
      <c r="G161" t="s">
        <v>1047</v>
      </c>
      <c r="H161">
        <v>1</v>
      </c>
      <c r="I161">
        <v>1</v>
      </c>
      <c r="J161" t="s">
        <v>1146</v>
      </c>
      <c r="O161" t="s">
        <v>29</v>
      </c>
      <c r="P161">
        <v>567</v>
      </c>
    </row>
    <row r="162" spans="2:16" x14ac:dyDescent="0.25">
      <c r="B162" t="s">
        <v>1271</v>
      </c>
      <c r="C162">
        <v>87200</v>
      </c>
      <c r="D162" t="s">
        <v>1271</v>
      </c>
      <c r="E162" t="s">
        <v>1271</v>
      </c>
      <c r="F162" t="s">
        <v>1047</v>
      </c>
      <c r="G162" t="s">
        <v>1047</v>
      </c>
      <c r="H162">
        <v>1</v>
      </c>
      <c r="I162">
        <v>1</v>
      </c>
      <c r="J162" t="s">
        <v>1146</v>
      </c>
      <c r="O162" t="s">
        <v>29</v>
      </c>
      <c r="P162">
        <v>705</v>
      </c>
    </row>
    <row r="163" spans="2:16" x14ac:dyDescent="0.25">
      <c r="B163" t="s">
        <v>1272</v>
      </c>
      <c r="C163">
        <v>87210</v>
      </c>
      <c r="D163" t="s">
        <v>1272</v>
      </c>
      <c r="E163" t="s">
        <v>1272</v>
      </c>
      <c r="F163" t="s">
        <v>1047</v>
      </c>
      <c r="G163" t="s">
        <v>1047</v>
      </c>
      <c r="H163">
        <v>1</v>
      </c>
      <c r="I163">
        <v>1</v>
      </c>
      <c r="J163" t="s">
        <v>1146</v>
      </c>
      <c r="O163" t="s">
        <v>29</v>
      </c>
      <c r="P163">
        <v>744</v>
      </c>
    </row>
    <row r="164" spans="2:16" x14ac:dyDescent="0.25">
      <c r="B164" t="s">
        <v>1274</v>
      </c>
      <c r="C164">
        <v>87220</v>
      </c>
      <c r="D164" t="s">
        <v>1274</v>
      </c>
      <c r="E164" t="s">
        <v>1274</v>
      </c>
      <c r="F164" t="s">
        <v>1047</v>
      </c>
      <c r="G164" t="s">
        <v>1047</v>
      </c>
      <c r="H164">
        <v>1</v>
      </c>
      <c r="I164">
        <v>1</v>
      </c>
      <c r="J164" t="s">
        <v>1146</v>
      </c>
      <c r="O164" t="s">
        <v>29</v>
      </c>
      <c r="P164">
        <v>783</v>
      </c>
    </row>
    <row r="165" spans="2:16" x14ac:dyDescent="0.25">
      <c r="B165" t="s">
        <v>1273</v>
      </c>
      <c r="C165">
        <v>87230</v>
      </c>
      <c r="D165" t="s">
        <v>1273</v>
      </c>
      <c r="E165" t="s">
        <v>1273</v>
      </c>
      <c r="F165" t="s">
        <v>1047</v>
      </c>
      <c r="G165" t="s">
        <v>1047</v>
      </c>
      <c r="H165">
        <v>1</v>
      </c>
      <c r="I165">
        <v>1</v>
      </c>
      <c r="J165" t="s">
        <v>1146</v>
      </c>
      <c r="O165" t="s">
        <v>29</v>
      </c>
      <c r="P165">
        <v>768</v>
      </c>
    </row>
    <row r="166" spans="2:16" x14ac:dyDescent="0.25">
      <c r="B166" t="s">
        <v>1275</v>
      </c>
      <c r="C166">
        <v>87240</v>
      </c>
      <c r="D166" t="s">
        <v>1275</v>
      </c>
      <c r="E166" t="s">
        <v>1275</v>
      </c>
      <c r="F166" t="s">
        <v>1047</v>
      </c>
      <c r="G166" t="s">
        <v>1047</v>
      </c>
      <c r="H166">
        <v>1</v>
      </c>
      <c r="I166">
        <v>1</v>
      </c>
      <c r="J166" t="s">
        <v>1146</v>
      </c>
      <c r="O166" t="s">
        <v>29</v>
      </c>
      <c r="P166">
        <v>799</v>
      </c>
    </row>
    <row r="167" spans="2:16" x14ac:dyDescent="0.25">
      <c r="B167" t="s">
        <v>1276</v>
      </c>
      <c r="C167">
        <v>87250</v>
      </c>
      <c r="D167" t="s">
        <v>1276</v>
      </c>
      <c r="E167" t="s">
        <v>1276</v>
      </c>
      <c r="F167" t="s">
        <v>1047</v>
      </c>
      <c r="G167" t="s">
        <v>1047</v>
      </c>
      <c r="H167">
        <v>1</v>
      </c>
      <c r="I167">
        <v>1</v>
      </c>
      <c r="J167" t="s">
        <v>1146</v>
      </c>
      <c r="O167" t="s">
        <v>29</v>
      </c>
      <c r="P167">
        <v>854</v>
      </c>
    </row>
    <row r="168" spans="2:16" x14ac:dyDescent="0.25">
      <c r="B168" t="s">
        <v>1246</v>
      </c>
      <c r="C168">
        <v>87300</v>
      </c>
      <c r="D168" t="s">
        <v>1246</v>
      </c>
      <c r="E168" t="s">
        <v>1246</v>
      </c>
      <c r="F168" t="s">
        <v>1047</v>
      </c>
      <c r="G168" t="s">
        <v>1047</v>
      </c>
      <c r="H168">
        <v>1</v>
      </c>
      <c r="I168">
        <v>1</v>
      </c>
      <c r="J168" t="s">
        <v>1146</v>
      </c>
      <c r="O168" t="s">
        <v>29</v>
      </c>
      <c r="P168">
        <v>36.799999999999997</v>
      </c>
    </row>
    <row r="169" spans="2:16" x14ac:dyDescent="0.25">
      <c r="B169" t="s">
        <v>1247</v>
      </c>
      <c r="C169">
        <v>87310</v>
      </c>
      <c r="D169" t="s">
        <v>1247</v>
      </c>
      <c r="E169" t="s">
        <v>1247</v>
      </c>
      <c r="F169" t="s">
        <v>1047</v>
      </c>
      <c r="G169" t="s">
        <v>1047</v>
      </c>
      <c r="H169">
        <v>1</v>
      </c>
      <c r="I169">
        <v>1</v>
      </c>
      <c r="J169" t="s">
        <v>1146</v>
      </c>
      <c r="O169" t="s">
        <v>29</v>
      </c>
      <c r="P169">
        <v>55.19</v>
      </c>
    </row>
    <row r="170" spans="2:16" x14ac:dyDescent="0.25">
      <c r="B170" t="s">
        <v>1245</v>
      </c>
      <c r="C170">
        <v>87320</v>
      </c>
      <c r="D170" t="s">
        <v>1245</v>
      </c>
      <c r="E170" t="s">
        <v>1245</v>
      </c>
      <c r="F170" t="s">
        <v>1047</v>
      </c>
      <c r="G170" t="s">
        <v>1047</v>
      </c>
      <c r="H170">
        <v>1</v>
      </c>
      <c r="I170">
        <v>1</v>
      </c>
      <c r="J170" t="s">
        <v>1146</v>
      </c>
      <c r="O170" t="s">
        <v>29</v>
      </c>
      <c r="P170">
        <v>58.71</v>
      </c>
    </row>
    <row r="171" spans="2:16" x14ac:dyDescent="0.25">
      <c r="B171" t="s">
        <v>1233</v>
      </c>
      <c r="C171">
        <v>87400</v>
      </c>
      <c r="D171" t="s">
        <v>1233</v>
      </c>
      <c r="E171" t="s">
        <v>1233</v>
      </c>
      <c r="F171" t="s">
        <v>1047</v>
      </c>
      <c r="G171" t="s">
        <v>1047</v>
      </c>
      <c r="H171">
        <v>1</v>
      </c>
      <c r="I171">
        <v>1</v>
      </c>
      <c r="J171" t="s">
        <v>1146</v>
      </c>
      <c r="O171" t="s">
        <v>29</v>
      </c>
      <c r="P171">
        <v>174</v>
      </c>
    </row>
    <row r="172" spans="2:16" x14ac:dyDescent="0.25">
      <c r="B172" t="s">
        <v>1234</v>
      </c>
      <c r="C172">
        <v>87405</v>
      </c>
      <c r="D172" t="s">
        <v>1234</v>
      </c>
      <c r="E172" t="s">
        <v>1234</v>
      </c>
      <c r="F172" t="s">
        <v>1047</v>
      </c>
      <c r="G172" t="s">
        <v>1047</v>
      </c>
      <c r="H172">
        <v>1</v>
      </c>
      <c r="I172">
        <v>1</v>
      </c>
      <c r="J172" t="s">
        <v>1146</v>
      </c>
      <c r="O172" t="s">
        <v>29</v>
      </c>
      <c r="P172">
        <v>178</v>
      </c>
    </row>
    <row r="173" spans="2:16" x14ac:dyDescent="0.25">
      <c r="B173" t="s">
        <v>1235</v>
      </c>
      <c r="C173">
        <v>87410</v>
      </c>
      <c r="D173" t="s">
        <v>1235</v>
      </c>
      <c r="E173" t="s">
        <v>1235</v>
      </c>
      <c r="F173" t="s">
        <v>1047</v>
      </c>
      <c r="G173" t="s">
        <v>1047</v>
      </c>
      <c r="H173">
        <v>1</v>
      </c>
      <c r="I173">
        <v>1</v>
      </c>
      <c r="J173" t="s">
        <v>1146</v>
      </c>
      <c r="O173" t="s">
        <v>29</v>
      </c>
      <c r="P173">
        <v>196</v>
      </c>
    </row>
    <row r="174" spans="2:16" x14ac:dyDescent="0.25">
      <c r="B174" t="s">
        <v>1236</v>
      </c>
      <c r="C174">
        <v>87415</v>
      </c>
      <c r="D174" t="s">
        <v>1236</v>
      </c>
      <c r="E174" t="s">
        <v>1236</v>
      </c>
      <c r="F174" t="s">
        <v>1047</v>
      </c>
      <c r="G174" t="s">
        <v>1047</v>
      </c>
      <c r="H174">
        <v>1</v>
      </c>
      <c r="I174">
        <v>1</v>
      </c>
      <c r="J174" t="s">
        <v>1146</v>
      </c>
      <c r="O174" t="s">
        <v>29</v>
      </c>
      <c r="P174">
        <v>200</v>
      </c>
    </row>
    <row r="175" spans="2:16" x14ac:dyDescent="0.25">
      <c r="B175" t="s">
        <v>1237</v>
      </c>
      <c r="C175">
        <v>87420</v>
      </c>
      <c r="D175" t="s">
        <v>1237</v>
      </c>
      <c r="E175" t="s">
        <v>1237</v>
      </c>
      <c r="F175" t="s">
        <v>1047</v>
      </c>
      <c r="G175" t="s">
        <v>1047</v>
      </c>
      <c r="H175">
        <v>1</v>
      </c>
      <c r="I175">
        <v>1</v>
      </c>
      <c r="J175" t="s">
        <v>1146</v>
      </c>
      <c r="O175" t="s">
        <v>29</v>
      </c>
      <c r="P175">
        <v>221</v>
      </c>
    </row>
    <row r="176" spans="2:16" x14ac:dyDescent="0.25">
      <c r="B176" t="s">
        <v>1238</v>
      </c>
      <c r="C176">
        <v>87425</v>
      </c>
      <c r="D176" t="s">
        <v>1238</v>
      </c>
      <c r="E176" t="s">
        <v>1238</v>
      </c>
      <c r="F176" t="s">
        <v>1047</v>
      </c>
      <c r="G176" t="s">
        <v>1047</v>
      </c>
      <c r="H176">
        <v>1</v>
      </c>
      <c r="I176">
        <v>1</v>
      </c>
      <c r="J176" t="s">
        <v>1146</v>
      </c>
      <c r="O176" t="s">
        <v>29</v>
      </c>
      <c r="P176">
        <v>225</v>
      </c>
    </row>
    <row r="177" spans="2:16" x14ac:dyDescent="0.25">
      <c r="B177" t="s">
        <v>1239</v>
      </c>
      <c r="C177">
        <v>87430</v>
      </c>
      <c r="D177" t="s">
        <v>1239</v>
      </c>
      <c r="E177" t="s">
        <v>1239</v>
      </c>
      <c r="F177" t="s">
        <v>1047</v>
      </c>
      <c r="G177" t="s">
        <v>1047</v>
      </c>
      <c r="H177">
        <v>1</v>
      </c>
      <c r="I177">
        <v>1</v>
      </c>
      <c r="J177" t="s">
        <v>1146</v>
      </c>
      <c r="O177" t="s">
        <v>29</v>
      </c>
      <c r="P177">
        <v>248</v>
      </c>
    </row>
    <row r="178" spans="2:16" x14ac:dyDescent="0.25">
      <c r="B178" t="s">
        <v>1240</v>
      </c>
      <c r="C178">
        <v>87435</v>
      </c>
      <c r="D178" t="s">
        <v>1240</v>
      </c>
      <c r="E178" t="s">
        <v>1240</v>
      </c>
      <c r="F178" t="s">
        <v>1047</v>
      </c>
      <c r="G178" t="s">
        <v>1047</v>
      </c>
      <c r="H178">
        <v>1</v>
      </c>
      <c r="I178">
        <v>1</v>
      </c>
      <c r="J178" t="s">
        <v>1146</v>
      </c>
      <c r="O178" t="s">
        <v>29</v>
      </c>
      <c r="P178">
        <v>259</v>
      </c>
    </row>
    <row r="179" spans="2:16" x14ac:dyDescent="0.25">
      <c r="B179" t="s">
        <v>1241</v>
      </c>
      <c r="C179">
        <v>87440</v>
      </c>
      <c r="D179" t="s">
        <v>1241</v>
      </c>
      <c r="E179" t="s">
        <v>1241</v>
      </c>
      <c r="F179" t="s">
        <v>1047</v>
      </c>
      <c r="G179" t="s">
        <v>1047</v>
      </c>
      <c r="H179">
        <v>1</v>
      </c>
      <c r="I179">
        <v>1</v>
      </c>
      <c r="J179" t="s">
        <v>1146</v>
      </c>
      <c r="O179" t="s">
        <v>29</v>
      </c>
      <c r="P179">
        <v>327</v>
      </c>
    </row>
    <row r="180" spans="2:16" x14ac:dyDescent="0.25">
      <c r="B180" t="s">
        <v>1242</v>
      </c>
      <c r="C180">
        <v>87445</v>
      </c>
      <c r="D180" t="s">
        <v>1242</v>
      </c>
      <c r="E180" t="s">
        <v>1242</v>
      </c>
      <c r="F180" t="s">
        <v>1047</v>
      </c>
      <c r="G180" t="s">
        <v>1047</v>
      </c>
      <c r="H180">
        <v>1</v>
      </c>
      <c r="I180">
        <v>1</v>
      </c>
      <c r="J180" t="s">
        <v>1146</v>
      </c>
      <c r="O180" t="s">
        <v>29</v>
      </c>
      <c r="P180">
        <v>337</v>
      </c>
    </row>
    <row r="181" spans="2:16" x14ac:dyDescent="0.25">
      <c r="B181" t="s">
        <v>1243</v>
      </c>
      <c r="C181">
        <v>87450</v>
      </c>
      <c r="D181" t="s">
        <v>1243</v>
      </c>
      <c r="E181" t="s">
        <v>1243</v>
      </c>
      <c r="F181" t="s">
        <v>1047</v>
      </c>
      <c r="G181" t="s">
        <v>1047</v>
      </c>
      <c r="H181">
        <v>1</v>
      </c>
      <c r="I181">
        <v>1</v>
      </c>
      <c r="J181" t="s">
        <v>1146</v>
      </c>
      <c r="O181" t="s">
        <v>29</v>
      </c>
      <c r="P181">
        <v>343</v>
      </c>
    </row>
    <row r="182" spans="2:16" x14ac:dyDescent="0.25">
      <c r="B182" t="s">
        <v>1219</v>
      </c>
      <c r="C182">
        <v>87500</v>
      </c>
      <c r="D182" t="s">
        <v>1219</v>
      </c>
      <c r="E182" t="s">
        <v>1219</v>
      </c>
      <c r="F182" t="s">
        <v>1047</v>
      </c>
      <c r="G182" t="s">
        <v>1047</v>
      </c>
      <c r="H182">
        <v>1</v>
      </c>
      <c r="I182">
        <v>1</v>
      </c>
      <c r="J182" t="s">
        <v>1146</v>
      </c>
      <c r="O182" t="s">
        <v>29</v>
      </c>
      <c r="P182">
        <v>186</v>
      </c>
    </row>
    <row r="183" spans="2:16" x14ac:dyDescent="0.25">
      <c r="B183" t="s">
        <v>1220</v>
      </c>
      <c r="C183">
        <v>87505</v>
      </c>
      <c r="D183" t="s">
        <v>1220</v>
      </c>
      <c r="E183" t="s">
        <v>1220</v>
      </c>
      <c r="F183" t="s">
        <v>1047</v>
      </c>
      <c r="G183" t="s">
        <v>1047</v>
      </c>
      <c r="H183">
        <v>1</v>
      </c>
      <c r="I183">
        <v>1</v>
      </c>
      <c r="J183" t="s">
        <v>1146</v>
      </c>
      <c r="O183" t="s">
        <v>29</v>
      </c>
      <c r="P183">
        <v>209</v>
      </c>
    </row>
    <row r="184" spans="2:16" x14ac:dyDescent="0.25">
      <c r="B184" t="s">
        <v>1221</v>
      </c>
      <c r="C184">
        <v>87510</v>
      </c>
      <c r="D184" t="s">
        <v>1221</v>
      </c>
      <c r="E184" t="s">
        <v>1221</v>
      </c>
      <c r="F184" t="s">
        <v>1047</v>
      </c>
      <c r="G184" t="s">
        <v>1047</v>
      </c>
      <c r="H184">
        <v>1</v>
      </c>
      <c r="I184">
        <v>1</v>
      </c>
      <c r="J184" t="s">
        <v>1146</v>
      </c>
      <c r="O184" t="s">
        <v>29</v>
      </c>
      <c r="P184">
        <v>213</v>
      </c>
    </row>
    <row r="185" spans="2:16" x14ac:dyDescent="0.25">
      <c r="B185" t="s">
        <v>1222</v>
      </c>
      <c r="C185">
        <v>87515</v>
      </c>
      <c r="D185" t="s">
        <v>1222</v>
      </c>
      <c r="E185" t="s">
        <v>1222</v>
      </c>
      <c r="F185" t="s">
        <v>1047</v>
      </c>
      <c r="G185" t="s">
        <v>1047</v>
      </c>
      <c r="H185">
        <v>1</v>
      </c>
      <c r="I185">
        <v>1</v>
      </c>
      <c r="J185" t="s">
        <v>1146</v>
      </c>
      <c r="O185" t="s">
        <v>29</v>
      </c>
      <c r="P185">
        <v>257</v>
      </c>
    </row>
    <row r="186" spans="2:16" x14ac:dyDescent="0.25">
      <c r="B186" t="s">
        <v>1223</v>
      </c>
      <c r="C186">
        <v>87520</v>
      </c>
      <c r="D186" t="s">
        <v>1223</v>
      </c>
      <c r="E186" t="s">
        <v>1223</v>
      </c>
      <c r="F186" t="s">
        <v>1047</v>
      </c>
      <c r="G186" t="s">
        <v>1047</v>
      </c>
      <c r="H186">
        <v>1</v>
      </c>
      <c r="I186">
        <v>1</v>
      </c>
      <c r="J186" t="s">
        <v>1146</v>
      </c>
      <c r="O186" t="s">
        <v>29</v>
      </c>
      <c r="P186">
        <v>254</v>
      </c>
    </row>
    <row r="187" spans="2:16" x14ac:dyDescent="0.25">
      <c r="B187" t="s">
        <v>1224</v>
      </c>
      <c r="C187">
        <v>87525</v>
      </c>
      <c r="D187" t="s">
        <v>1224</v>
      </c>
      <c r="E187" t="s">
        <v>1224</v>
      </c>
      <c r="F187" t="s">
        <v>1047</v>
      </c>
      <c r="G187" t="s">
        <v>1047</v>
      </c>
      <c r="H187">
        <v>1</v>
      </c>
      <c r="I187">
        <v>1</v>
      </c>
      <c r="J187" t="s">
        <v>1146</v>
      </c>
      <c r="O187" t="s">
        <v>29</v>
      </c>
      <c r="P187">
        <v>259</v>
      </c>
    </row>
    <row r="188" spans="2:16" x14ac:dyDescent="0.25">
      <c r="B188" t="s">
        <v>1225</v>
      </c>
      <c r="C188">
        <v>87530</v>
      </c>
      <c r="D188" t="s">
        <v>1225</v>
      </c>
      <c r="E188" t="s">
        <v>1225</v>
      </c>
      <c r="F188" t="s">
        <v>1047</v>
      </c>
      <c r="G188" t="s">
        <v>1047</v>
      </c>
      <c r="H188">
        <v>1</v>
      </c>
      <c r="I188">
        <v>1</v>
      </c>
      <c r="J188" t="s">
        <v>1146</v>
      </c>
      <c r="O188" t="s">
        <v>29</v>
      </c>
      <c r="P188">
        <v>270</v>
      </c>
    </row>
    <row r="189" spans="2:16" x14ac:dyDescent="0.25">
      <c r="B189" t="s">
        <v>1226</v>
      </c>
      <c r="C189">
        <v>87535</v>
      </c>
      <c r="D189" t="s">
        <v>1226</v>
      </c>
      <c r="E189" t="s">
        <v>1226</v>
      </c>
      <c r="F189" t="s">
        <v>1047</v>
      </c>
      <c r="G189" t="s">
        <v>1047</v>
      </c>
      <c r="H189">
        <v>1</v>
      </c>
      <c r="I189">
        <v>1</v>
      </c>
      <c r="J189" t="s">
        <v>1146</v>
      </c>
      <c r="O189" t="s">
        <v>29</v>
      </c>
      <c r="P189">
        <v>275</v>
      </c>
    </row>
    <row r="190" spans="2:16" x14ac:dyDescent="0.25">
      <c r="B190" t="s">
        <v>1227</v>
      </c>
      <c r="C190">
        <v>87540</v>
      </c>
      <c r="D190" t="s">
        <v>1227</v>
      </c>
      <c r="E190" t="s">
        <v>1227</v>
      </c>
      <c r="F190" t="s">
        <v>1047</v>
      </c>
      <c r="G190" t="s">
        <v>1047</v>
      </c>
      <c r="H190">
        <v>1</v>
      </c>
      <c r="I190">
        <v>1</v>
      </c>
      <c r="J190" t="s">
        <v>1146</v>
      </c>
      <c r="O190" t="s">
        <v>29</v>
      </c>
      <c r="P190">
        <v>315</v>
      </c>
    </row>
    <row r="191" spans="2:16" x14ac:dyDescent="0.25">
      <c r="B191" t="s">
        <v>1228</v>
      </c>
      <c r="C191">
        <v>87545</v>
      </c>
      <c r="D191" t="s">
        <v>1228</v>
      </c>
      <c r="E191" t="s">
        <v>1228</v>
      </c>
      <c r="F191" t="s">
        <v>1047</v>
      </c>
      <c r="G191" t="s">
        <v>1047</v>
      </c>
      <c r="H191">
        <v>1</v>
      </c>
      <c r="I191">
        <v>1</v>
      </c>
      <c r="J191" t="s">
        <v>1146</v>
      </c>
      <c r="O191" t="s">
        <v>29</v>
      </c>
      <c r="P191">
        <v>338</v>
      </c>
    </row>
    <row r="192" spans="2:16" x14ac:dyDescent="0.25">
      <c r="B192" t="s">
        <v>1229</v>
      </c>
      <c r="C192">
        <v>87550</v>
      </c>
      <c r="D192" t="s">
        <v>1229</v>
      </c>
      <c r="E192" t="s">
        <v>1229</v>
      </c>
      <c r="F192" t="s">
        <v>1047</v>
      </c>
      <c r="G192" t="s">
        <v>1047</v>
      </c>
      <c r="H192">
        <v>1</v>
      </c>
      <c r="I192">
        <v>1</v>
      </c>
      <c r="J192" t="s">
        <v>1146</v>
      </c>
      <c r="O192" t="s">
        <v>29</v>
      </c>
      <c r="P192">
        <v>315</v>
      </c>
    </row>
    <row r="193" spans="2:16" x14ac:dyDescent="0.25">
      <c r="B193" t="s">
        <v>1230</v>
      </c>
      <c r="C193">
        <v>87555</v>
      </c>
      <c r="D193" t="s">
        <v>1230</v>
      </c>
      <c r="E193" t="s">
        <v>1230</v>
      </c>
      <c r="F193" t="s">
        <v>1047</v>
      </c>
      <c r="G193" t="s">
        <v>1047</v>
      </c>
      <c r="H193">
        <v>1</v>
      </c>
      <c r="I193">
        <v>1</v>
      </c>
      <c r="J193" t="s">
        <v>1146</v>
      </c>
      <c r="O193" t="s">
        <v>29</v>
      </c>
      <c r="P193">
        <v>326</v>
      </c>
    </row>
    <row r="194" spans="2:16" x14ac:dyDescent="0.25">
      <c r="B194" t="s">
        <v>1232</v>
      </c>
      <c r="C194">
        <v>87560</v>
      </c>
      <c r="D194" t="s">
        <v>1232</v>
      </c>
      <c r="E194" t="s">
        <v>1232</v>
      </c>
      <c r="F194" t="s">
        <v>1047</v>
      </c>
      <c r="G194" t="s">
        <v>1047</v>
      </c>
      <c r="H194">
        <v>1</v>
      </c>
      <c r="I194">
        <v>1</v>
      </c>
      <c r="J194" t="s">
        <v>1146</v>
      </c>
      <c r="O194" t="s">
        <v>29</v>
      </c>
      <c r="P194">
        <v>360</v>
      </c>
    </row>
    <row r="195" spans="2:16" x14ac:dyDescent="0.25">
      <c r="B195" t="s">
        <v>1231</v>
      </c>
      <c r="C195">
        <v>87565</v>
      </c>
      <c r="D195" t="s">
        <v>1231</v>
      </c>
      <c r="E195" t="s">
        <v>1231</v>
      </c>
      <c r="F195" t="s">
        <v>1047</v>
      </c>
      <c r="G195" t="s">
        <v>1047</v>
      </c>
      <c r="H195">
        <v>1</v>
      </c>
      <c r="I195">
        <v>1</v>
      </c>
      <c r="J195" t="s">
        <v>1146</v>
      </c>
      <c r="O195" t="s">
        <v>29</v>
      </c>
      <c r="P195">
        <v>394</v>
      </c>
    </row>
    <row r="196" spans="2:16" x14ac:dyDescent="0.25">
      <c r="B196" t="s">
        <v>1631</v>
      </c>
      <c r="C196">
        <v>87600</v>
      </c>
      <c r="D196" t="s">
        <v>1631</v>
      </c>
      <c r="E196" t="s">
        <v>1631</v>
      </c>
      <c r="F196" t="s">
        <v>1047</v>
      </c>
      <c r="G196" t="s">
        <v>1047</v>
      </c>
      <c r="H196">
        <v>1</v>
      </c>
      <c r="I196">
        <v>1</v>
      </c>
      <c r="J196" t="s">
        <v>1581</v>
      </c>
      <c r="O196" t="s">
        <v>29</v>
      </c>
      <c r="P196">
        <v>960</v>
      </c>
    </row>
    <row r="197" spans="2:16" x14ac:dyDescent="0.25">
      <c r="B197" t="s">
        <v>1632</v>
      </c>
      <c r="C197">
        <v>87610</v>
      </c>
      <c r="D197" t="s">
        <v>1632</v>
      </c>
      <c r="E197" t="s">
        <v>1632</v>
      </c>
      <c r="F197" t="s">
        <v>1047</v>
      </c>
      <c r="G197" t="s">
        <v>1047</v>
      </c>
      <c r="H197">
        <v>1</v>
      </c>
      <c r="I197">
        <v>1</v>
      </c>
      <c r="J197" t="s">
        <v>1581</v>
      </c>
      <c r="O197" t="s">
        <v>29</v>
      </c>
      <c r="P197">
        <v>1044</v>
      </c>
    </row>
    <row r="198" spans="2:16" x14ac:dyDescent="0.25">
      <c r="B198" t="s">
        <v>1633</v>
      </c>
      <c r="C198">
        <v>87620</v>
      </c>
      <c r="D198" t="s">
        <v>1633</v>
      </c>
      <c r="E198" t="s">
        <v>1633</v>
      </c>
      <c r="F198" t="s">
        <v>1047</v>
      </c>
      <c r="G198" t="s">
        <v>1047</v>
      </c>
      <c r="H198">
        <v>1</v>
      </c>
      <c r="I198">
        <v>1</v>
      </c>
      <c r="J198" t="s">
        <v>1581</v>
      </c>
      <c r="O198" t="s">
        <v>29</v>
      </c>
      <c r="P198">
        <v>1116</v>
      </c>
    </row>
    <row r="199" spans="2:16" x14ac:dyDescent="0.25">
      <c r="B199" t="s">
        <v>1634</v>
      </c>
      <c r="C199">
        <v>87630</v>
      </c>
      <c r="D199" t="s">
        <v>1634</v>
      </c>
      <c r="E199" t="s">
        <v>1634</v>
      </c>
      <c r="F199" t="s">
        <v>1047</v>
      </c>
      <c r="G199" t="s">
        <v>1047</v>
      </c>
      <c r="H199">
        <v>1</v>
      </c>
      <c r="I199">
        <v>1</v>
      </c>
      <c r="J199" t="s">
        <v>1581</v>
      </c>
      <c r="O199" t="s">
        <v>29</v>
      </c>
      <c r="P199">
        <v>1200</v>
      </c>
    </row>
    <row r="200" spans="2:16" x14ac:dyDescent="0.25">
      <c r="B200" t="s">
        <v>1635</v>
      </c>
      <c r="C200">
        <v>87640</v>
      </c>
      <c r="D200" t="s">
        <v>1635</v>
      </c>
      <c r="E200" t="s">
        <v>1635</v>
      </c>
      <c r="F200" t="s">
        <v>1047</v>
      </c>
      <c r="G200" t="s">
        <v>1047</v>
      </c>
      <c r="H200">
        <v>1</v>
      </c>
      <c r="I200">
        <v>1</v>
      </c>
      <c r="J200" t="s">
        <v>1581</v>
      </c>
      <c r="O200" t="s">
        <v>29</v>
      </c>
      <c r="P200">
        <v>1344</v>
      </c>
    </row>
    <row r="201" spans="2:16" x14ac:dyDescent="0.25">
      <c r="B201" t="s">
        <v>1636</v>
      </c>
      <c r="C201">
        <v>87650</v>
      </c>
      <c r="D201" t="s">
        <v>1636</v>
      </c>
      <c r="E201" t="s">
        <v>1636</v>
      </c>
      <c r="F201" t="s">
        <v>1047</v>
      </c>
      <c r="G201" t="s">
        <v>1047</v>
      </c>
      <c r="H201">
        <v>1</v>
      </c>
      <c r="I201">
        <v>1</v>
      </c>
      <c r="J201" t="s">
        <v>1581</v>
      </c>
      <c r="O201" t="s">
        <v>29</v>
      </c>
      <c r="P201">
        <v>1416</v>
      </c>
    </row>
    <row r="202" spans="2:16" x14ac:dyDescent="0.25">
      <c r="B202" t="s">
        <v>1637</v>
      </c>
      <c r="C202">
        <v>87660</v>
      </c>
      <c r="D202" t="s">
        <v>1637</v>
      </c>
      <c r="E202" t="s">
        <v>1637</v>
      </c>
      <c r="F202" t="s">
        <v>1047</v>
      </c>
      <c r="G202" t="s">
        <v>1047</v>
      </c>
      <c r="H202">
        <v>1</v>
      </c>
      <c r="I202">
        <v>1</v>
      </c>
      <c r="J202" t="s">
        <v>1581</v>
      </c>
      <c r="O202" t="s">
        <v>29</v>
      </c>
      <c r="P202">
        <v>1560</v>
      </c>
    </row>
    <row r="203" spans="2:16" x14ac:dyDescent="0.25">
      <c r="B203" t="s">
        <v>1624</v>
      </c>
      <c r="C203">
        <v>87700</v>
      </c>
      <c r="D203" t="s">
        <v>1624</v>
      </c>
      <c r="E203" t="s">
        <v>1624</v>
      </c>
      <c r="F203" t="s">
        <v>1047</v>
      </c>
      <c r="G203" t="s">
        <v>1047</v>
      </c>
      <c r="H203">
        <v>1</v>
      </c>
      <c r="I203">
        <v>1</v>
      </c>
      <c r="J203" t="s">
        <v>1581</v>
      </c>
      <c r="O203" t="s">
        <v>29</v>
      </c>
      <c r="P203">
        <v>765</v>
      </c>
    </row>
    <row r="204" spans="2:16" x14ac:dyDescent="0.25">
      <c r="B204" t="s">
        <v>1625</v>
      </c>
      <c r="C204">
        <v>87710</v>
      </c>
      <c r="D204" t="s">
        <v>1625</v>
      </c>
      <c r="E204" t="s">
        <v>1625</v>
      </c>
      <c r="F204" t="s">
        <v>1047</v>
      </c>
      <c r="G204" t="s">
        <v>1047</v>
      </c>
      <c r="H204">
        <v>1</v>
      </c>
      <c r="I204">
        <v>1</v>
      </c>
      <c r="J204" t="s">
        <v>1581</v>
      </c>
      <c r="O204" t="s">
        <v>29</v>
      </c>
      <c r="P204">
        <v>791</v>
      </c>
    </row>
    <row r="205" spans="2:16" x14ac:dyDescent="0.25">
      <c r="B205" t="s">
        <v>1626</v>
      </c>
      <c r="C205">
        <v>87720</v>
      </c>
      <c r="D205" t="s">
        <v>1626</v>
      </c>
      <c r="E205" t="s">
        <v>1626</v>
      </c>
      <c r="F205" t="s">
        <v>1047</v>
      </c>
      <c r="G205" t="s">
        <v>1047</v>
      </c>
      <c r="H205">
        <v>1</v>
      </c>
      <c r="I205">
        <v>1</v>
      </c>
      <c r="J205" t="s">
        <v>1581</v>
      </c>
      <c r="O205" t="s">
        <v>29</v>
      </c>
      <c r="P205">
        <v>825</v>
      </c>
    </row>
    <row r="206" spans="2:16" x14ac:dyDescent="0.25">
      <c r="B206" t="s">
        <v>1627</v>
      </c>
      <c r="C206">
        <v>87730</v>
      </c>
      <c r="D206" t="s">
        <v>1627</v>
      </c>
      <c r="E206" t="s">
        <v>1627</v>
      </c>
      <c r="F206" t="s">
        <v>1047</v>
      </c>
      <c r="G206" t="s">
        <v>1047</v>
      </c>
      <c r="H206">
        <v>1</v>
      </c>
      <c r="I206">
        <v>1</v>
      </c>
      <c r="J206" t="s">
        <v>1581</v>
      </c>
      <c r="O206" t="s">
        <v>29</v>
      </c>
      <c r="P206">
        <v>850</v>
      </c>
    </row>
    <row r="207" spans="2:16" x14ac:dyDescent="0.25">
      <c r="B207" t="s">
        <v>1628</v>
      </c>
      <c r="C207">
        <v>87740</v>
      </c>
      <c r="D207" t="s">
        <v>1628</v>
      </c>
      <c r="E207" t="s">
        <v>1628</v>
      </c>
      <c r="F207" t="s">
        <v>1047</v>
      </c>
      <c r="G207" t="s">
        <v>1047</v>
      </c>
      <c r="H207">
        <v>1</v>
      </c>
      <c r="I207">
        <v>1</v>
      </c>
      <c r="J207" t="s">
        <v>1581</v>
      </c>
      <c r="O207" t="s">
        <v>29</v>
      </c>
      <c r="P207">
        <v>935</v>
      </c>
    </row>
    <row r="208" spans="2:16" x14ac:dyDescent="0.25">
      <c r="B208" t="s">
        <v>1629</v>
      </c>
      <c r="C208">
        <v>87750</v>
      </c>
      <c r="D208" t="s">
        <v>1629</v>
      </c>
      <c r="E208" t="s">
        <v>1629</v>
      </c>
      <c r="F208" t="s">
        <v>1047</v>
      </c>
      <c r="G208" t="s">
        <v>1047</v>
      </c>
      <c r="H208">
        <v>1</v>
      </c>
      <c r="I208">
        <v>1</v>
      </c>
      <c r="J208" t="s">
        <v>1581</v>
      </c>
      <c r="O208" t="s">
        <v>29</v>
      </c>
      <c r="P208">
        <v>1063</v>
      </c>
    </row>
    <row r="209" spans="1:16" x14ac:dyDescent="0.25">
      <c r="B209" t="s">
        <v>1630</v>
      </c>
      <c r="C209">
        <v>87760</v>
      </c>
      <c r="D209" t="s">
        <v>1630</v>
      </c>
      <c r="E209" t="s">
        <v>1630</v>
      </c>
      <c r="F209" t="s">
        <v>1047</v>
      </c>
      <c r="G209" t="s">
        <v>1047</v>
      </c>
      <c r="H209">
        <v>1</v>
      </c>
      <c r="I209">
        <v>1</v>
      </c>
      <c r="J209" t="s">
        <v>1581</v>
      </c>
      <c r="O209" t="s">
        <v>29</v>
      </c>
      <c r="P209">
        <v>1233</v>
      </c>
    </row>
    <row r="210" spans="1:16" x14ac:dyDescent="0.25">
      <c r="B210" t="s">
        <v>1388</v>
      </c>
      <c r="C210">
        <v>985</v>
      </c>
      <c r="D210" t="s">
        <v>1388</v>
      </c>
      <c r="E210" t="s">
        <v>1388</v>
      </c>
      <c r="F210" t="s">
        <v>1047</v>
      </c>
      <c r="G210" t="s">
        <v>1047</v>
      </c>
      <c r="H210">
        <v>1</v>
      </c>
      <c r="I210">
        <v>1</v>
      </c>
      <c r="J210" t="s">
        <v>1371</v>
      </c>
      <c r="O210" t="s">
        <v>29</v>
      </c>
      <c r="P210">
        <v>44.68</v>
      </c>
    </row>
    <row r="211" spans="1:16" x14ac:dyDescent="0.25">
      <c r="B211" t="s">
        <v>1389</v>
      </c>
      <c r="C211">
        <v>990</v>
      </c>
      <c r="D211" t="s">
        <v>1389</v>
      </c>
      <c r="E211" t="s">
        <v>1389</v>
      </c>
      <c r="F211" t="s">
        <v>1047</v>
      </c>
      <c r="G211" t="s">
        <v>1047</v>
      </c>
      <c r="H211">
        <v>1</v>
      </c>
      <c r="I211">
        <v>1</v>
      </c>
      <c r="J211" t="s">
        <v>1371</v>
      </c>
      <c r="O211" t="s">
        <v>29</v>
      </c>
      <c r="P211">
        <v>36.76</v>
      </c>
    </row>
    <row r="212" spans="1:16" x14ac:dyDescent="0.25">
      <c r="B212" t="s">
        <v>1390</v>
      </c>
      <c r="C212">
        <v>995</v>
      </c>
      <c r="D212" t="s">
        <v>1390</v>
      </c>
      <c r="E212" t="s">
        <v>1390</v>
      </c>
      <c r="F212" t="s">
        <v>1047</v>
      </c>
      <c r="G212" t="s">
        <v>1047</v>
      </c>
      <c r="H212">
        <v>1</v>
      </c>
      <c r="I212">
        <v>1</v>
      </c>
      <c r="J212" t="s">
        <v>1371</v>
      </c>
      <c r="O212" t="s">
        <v>29</v>
      </c>
      <c r="P212">
        <v>59.87</v>
      </c>
    </row>
    <row r="213" spans="1:16" x14ac:dyDescent="0.25">
      <c r="A213" s="181">
        <v>10000</v>
      </c>
      <c r="B213" s="181" t="s">
        <v>374</v>
      </c>
      <c r="C213">
        <v>10000</v>
      </c>
      <c r="D213" t="s">
        <v>1386</v>
      </c>
      <c r="E213" t="s">
        <v>1386</v>
      </c>
      <c r="F213" t="s">
        <v>1047</v>
      </c>
      <c r="G213" t="s">
        <v>1047</v>
      </c>
      <c r="H213">
        <v>1</v>
      </c>
      <c r="I213">
        <v>1</v>
      </c>
      <c r="J213" t="s">
        <v>1371</v>
      </c>
      <c r="O213" t="s">
        <v>29</v>
      </c>
      <c r="P213">
        <v>31.08</v>
      </c>
    </row>
    <row r="214" spans="1:16" x14ac:dyDescent="0.25">
      <c r="A214" s="181">
        <v>10005</v>
      </c>
      <c r="B214" s="181" t="s">
        <v>845</v>
      </c>
      <c r="C214">
        <v>10005</v>
      </c>
      <c r="D214" t="s">
        <v>1387</v>
      </c>
      <c r="E214" t="s">
        <v>1387</v>
      </c>
      <c r="F214" t="s">
        <v>1047</v>
      </c>
      <c r="G214" t="s">
        <v>1047</v>
      </c>
      <c r="H214">
        <v>1</v>
      </c>
      <c r="I214">
        <v>1</v>
      </c>
      <c r="J214" t="s">
        <v>1371</v>
      </c>
      <c r="O214" t="s">
        <v>29</v>
      </c>
      <c r="P214">
        <v>30</v>
      </c>
    </row>
    <row r="215" spans="1:16" x14ac:dyDescent="0.25">
      <c r="A215" s="181">
        <v>10010</v>
      </c>
      <c r="B215" s="181" t="s">
        <v>375</v>
      </c>
      <c r="C215">
        <v>10010</v>
      </c>
      <c r="D215" t="s">
        <v>375</v>
      </c>
      <c r="E215" t="s">
        <v>375</v>
      </c>
      <c r="F215" t="s">
        <v>1047</v>
      </c>
      <c r="G215" t="s">
        <v>1047</v>
      </c>
      <c r="H215">
        <v>1</v>
      </c>
      <c r="I215">
        <v>1</v>
      </c>
      <c r="J215" t="s">
        <v>1371</v>
      </c>
      <c r="O215" t="s">
        <v>29</v>
      </c>
      <c r="P215">
        <v>62.16</v>
      </c>
    </row>
    <row r="216" spans="1:16" x14ac:dyDescent="0.25">
      <c r="A216" s="181">
        <v>10020</v>
      </c>
      <c r="B216" s="181" t="s">
        <v>376</v>
      </c>
      <c r="C216">
        <v>10020</v>
      </c>
      <c r="D216" t="s">
        <v>376</v>
      </c>
      <c r="E216" t="s">
        <v>376</v>
      </c>
      <c r="F216" t="s">
        <v>1047</v>
      </c>
      <c r="G216" t="s">
        <v>1047</v>
      </c>
      <c r="H216">
        <v>1</v>
      </c>
      <c r="I216">
        <v>1</v>
      </c>
      <c r="J216" t="s">
        <v>1371</v>
      </c>
      <c r="O216" t="s">
        <v>29</v>
      </c>
      <c r="P216">
        <v>33.46</v>
      </c>
    </row>
    <row r="217" spans="1:16" x14ac:dyDescent="0.25">
      <c r="A217" s="181">
        <v>10025</v>
      </c>
      <c r="B217" s="181" t="s">
        <v>846</v>
      </c>
      <c r="C217">
        <v>10025</v>
      </c>
      <c r="D217" t="s">
        <v>1402</v>
      </c>
      <c r="E217" t="s">
        <v>1402</v>
      </c>
      <c r="F217" t="s">
        <v>1047</v>
      </c>
      <c r="G217" t="s">
        <v>1047</v>
      </c>
      <c r="H217">
        <v>1</v>
      </c>
      <c r="I217">
        <v>1</v>
      </c>
      <c r="J217" t="s">
        <v>1371</v>
      </c>
      <c r="O217" t="s">
        <v>29</v>
      </c>
      <c r="P217">
        <v>32</v>
      </c>
    </row>
    <row r="218" spans="1:16" x14ac:dyDescent="0.25">
      <c r="A218" s="181">
        <v>10030</v>
      </c>
      <c r="B218" s="181" t="s">
        <v>377</v>
      </c>
      <c r="C218">
        <v>10030</v>
      </c>
      <c r="D218" t="s">
        <v>377</v>
      </c>
      <c r="E218" t="s">
        <v>377</v>
      </c>
      <c r="F218" t="s">
        <v>1047</v>
      </c>
      <c r="G218" t="s">
        <v>1047</v>
      </c>
      <c r="H218">
        <v>1</v>
      </c>
      <c r="I218">
        <v>1</v>
      </c>
      <c r="J218" t="s">
        <v>1371</v>
      </c>
      <c r="O218" t="s">
        <v>29</v>
      </c>
      <c r="P218">
        <v>62.58</v>
      </c>
    </row>
    <row r="219" spans="1:16" x14ac:dyDescent="0.25">
      <c r="A219">
        <v>10031</v>
      </c>
      <c r="B219" t="s">
        <v>1403</v>
      </c>
      <c r="C219">
        <v>10031</v>
      </c>
      <c r="D219" t="s">
        <v>1403</v>
      </c>
      <c r="E219" t="s">
        <v>1403</v>
      </c>
      <c r="F219" t="s">
        <v>1047</v>
      </c>
      <c r="G219" t="s">
        <v>1047</v>
      </c>
      <c r="H219">
        <v>1</v>
      </c>
      <c r="I219">
        <v>1</v>
      </c>
      <c r="J219" t="s">
        <v>1371</v>
      </c>
      <c r="O219" t="s">
        <v>29</v>
      </c>
      <c r="P219">
        <v>46.71</v>
      </c>
    </row>
    <row r="220" spans="1:16" x14ac:dyDescent="0.25">
      <c r="A220">
        <v>10032</v>
      </c>
      <c r="B220" t="s">
        <v>1404</v>
      </c>
      <c r="C220">
        <v>10032</v>
      </c>
      <c r="D220" t="s">
        <v>1404</v>
      </c>
      <c r="E220" t="s">
        <v>1404</v>
      </c>
      <c r="F220" t="s">
        <v>1047</v>
      </c>
      <c r="G220" t="s">
        <v>1047</v>
      </c>
      <c r="H220">
        <v>1</v>
      </c>
      <c r="I220">
        <v>1</v>
      </c>
      <c r="J220" t="s">
        <v>1371</v>
      </c>
      <c r="O220" t="s">
        <v>29</v>
      </c>
      <c r="P220">
        <v>38.799999999999997</v>
      </c>
    </row>
    <row r="221" spans="1:16" x14ac:dyDescent="0.25">
      <c r="A221">
        <v>10033</v>
      </c>
      <c r="B221" t="s">
        <v>1405</v>
      </c>
      <c r="C221">
        <v>10033</v>
      </c>
      <c r="D221" t="s">
        <v>1405</v>
      </c>
      <c r="E221" t="s">
        <v>1405</v>
      </c>
      <c r="F221" t="s">
        <v>1047</v>
      </c>
      <c r="G221" t="s">
        <v>1047</v>
      </c>
      <c r="H221">
        <v>1</v>
      </c>
      <c r="I221">
        <v>1</v>
      </c>
      <c r="J221" t="s">
        <v>1371</v>
      </c>
      <c r="O221" t="s">
        <v>29</v>
      </c>
      <c r="P221">
        <v>63.94</v>
      </c>
    </row>
    <row r="222" spans="1:16" x14ac:dyDescent="0.25">
      <c r="A222">
        <v>10034</v>
      </c>
      <c r="B222" t="s">
        <v>1415</v>
      </c>
      <c r="C222">
        <v>10034</v>
      </c>
      <c r="D222" t="s">
        <v>1415</v>
      </c>
      <c r="E222" t="s">
        <v>1415</v>
      </c>
      <c r="F222" t="s">
        <v>1047</v>
      </c>
      <c r="G222" t="s">
        <v>1047</v>
      </c>
      <c r="H222">
        <v>1</v>
      </c>
      <c r="I222">
        <v>1</v>
      </c>
      <c r="J222" t="s">
        <v>1371</v>
      </c>
      <c r="O222" t="s">
        <v>29</v>
      </c>
      <c r="P222">
        <v>47.97</v>
      </c>
    </row>
    <row r="223" spans="1:16" x14ac:dyDescent="0.25">
      <c r="A223">
        <v>10035</v>
      </c>
      <c r="B223" t="s">
        <v>1416</v>
      </c>
      <c r="C223">
        <v>10035</v>
      </c>
      <c r="D223" t="s">
        <v>1416</v>
      </c>
      <c r="E223" t="s">
        <v>1416</v>
      </c>
      <c r="F223" t="s">
        <v>1047</v>
      </c>
      <c r="G223" t="s">
        <v>1047</v>
      </c>
      <c r="H223">
        <v>1</v>
      </c>
      <c r="I223">
        <v>1</v>
      </c>
      <c r="J223" t="s">
        <v>1371</v>
      </c>
      <c r="O223" t="s">
        <v>29</v>
      </c>
      <c r="P223">
        <v>40.020000000000003</v>
      </c>
    </row>
    <row r="224" spans="1:16" x14ac:dyDescent="0.25">
      <c r="A224">
        <v>10036</v>
      </c>
      <c r="B224" t="s">
        <v>1417</v>
      </c>
      <c r="C224">
        <v>10036</v>
      </c>
      <c r="D224" t="s">
        <v>1417</v>
      </c>
      <c r="E224" t="s">
        <v>1417</v>
      </c>
      <c r="F224" t="s">
        <v>1047</v>
      </c>
      <c r="G224" t="s">
        <v>1047</v>
      </c>
      <c r="H224">
        <v>1</v>
      </c>
      <c r="I224">
        <v>1</v>
      </c>
      <c r="J224" t="s">
        <v>1371</v>
      </c>
      <c r="O224" t="s">
        <v>29</v>
      </c>
      <c r="P224">
        <v>66.39</v>
      </c>
    </row>
    <row r="225" spans="1:16" x14ac:dyDescent="0.25">
      <c r="A225" s="181">
        <v>10040</v>
      </c>
      <c r="B225" s="181" t="s">
        <v>378</v>
      </c>
      <c r="C225">
        <v>10040</v>
      </c>
      <c r="D225" t="s">
        <v>378</v>
      </c>
      <c r="E225" t="s">
        <v>378</v>
      </c>
      <c r="F225" t="s">
        <v>1047</v>
      </c>
      <c r="G225" t="s">
        <v>1047</v>
      </c>
      <c r="H225">
        <v>1</v>
      </c>
      <c r="I225">
        <v>1</v>
      </c>
      <c r="J225" t="s">
        <v>1371</v>
      </c>
      <c r="O225" t="s">
        <v>29</v>
      </c>
      <c r="P225">
        <v>35.270000000000003</v>
      </c>
    </row>
    <row r="226" spans="1:16" x14ac:dyDescent="0.25">
      <c r="A226" s="181">
        <v>10045</v>
      </c>
      <c r="B226" s="181" t="s">
        <v>849</v>
      </c>
      <c r="C226">
        <v>10045</v>
      </c>
      <c r="D226" t="s">
        <v>1420</v>
      </c>
      <c r="E226" t="s">
        <v>1420</v>
      </c>
      <c r="F226" t="s">
        <v>1047</v>
      </c>
      <c r="G226" t="s">
        <v>1047</v>
      </c>
      <c r="H226">
        <v>1</v>
      </c>
      <c r="I226">
        <v>1</v>
      </c>
      <c r="J226" t="s">
        <v>1371</v>
      </c>
      <c r="O226" t="s">
        <v>29</v>
      </c>
      <c r="P226">
        <v>34</v>
      </c>
    </row>
    <row r="227" spans="1:16" x14ac:dyDescent="0.25">
      <c r="A227" s="181">
        <v>10050</v>
      </c>
      <c r="B227" s="181" t="s">
        <v>379</v>
      </c>
      <c r="C227">
        <v>10050</v>
      </c>
      <c r="D227" t="s">
        <v>379</v>
      </c>
      <c r="E227" t="s">
        <v>379</v>
      </c>
      <c r="F227" t="s">
        <v>1047</v>
      </c>
      <c r="G227" t="s">
        <v>1047</v>
      </c>
      <c r="H227">
        <v>1</v>
      </c>
      <c r="I227">
        <v>1</v>
      </c>
      <c r="J227" t="s">
        <v>1371</v>
      </c>
      <c r="O227" t="s">
        <v>29</v>
      </c>
      <c r="P227">
        <v>70.47</v>
      </c>
    </row>
    <row r="228" spans="1:16" x14ac:dyDescent="0.25">
      <c r="A228">
        <v>10051</v>
      </c>
      <c r="B228" t="s">
        <v>1421</v>
      </c>
      <c r="C228">
        <v>10051</v>
      </c>
      <c r="D228" t="s">
        <v>1421</v>
      </c>
      <c r="E228" t="s">
        <v>1421</v>
      </c>
      <c r="F228" t="s">
        <v>1047</v>
      </c>
      <c r="G228" t="s">
        <v>1047</v>
      </c>
      <c r="H228">
        <v>1</v>
      </c>
      <c r="I228">
        <v>1</v>
      </c>
      <c r="J228" t="s">
        <v>1371</v>
      </c>
      <c r="O228" t="s">
        <v>29</v>
      </c>
      <c r="P228">
        <v>50.18</v>
      </c>
    </row>
    <row r="229" spans="1:16" x14ac:dyDescent="0.25">
      <c r="A229">
        <v>10052</v>
      </c>
      <c r="B229" t="s">
        <v>1422</v>
      </c>
      <c r="C229">
        <v>10052</v>
      </c>
      <c r="D229" t="s">
        <v>1422</v>
      </c>
      <c r="E229" t="s">
        <v>1422</v>
      </c>
      <c r="F229" t="s">
        <v>1047</v>
      </c>
      <c r="G229" t="s">
        <v>1047</v>
      </c>
      <c r="H229">
        <v>1</v>
      </c>
      <c r="I229">
        <v>1</v>
      </c>
      <c r="J229" t="s">
        <v>1371</v>
      </c>
      <c r="O229" t="s">
        <v>29</v>
      </c>
      <c r="P229">
        <v>41.51</v>
      </c>
    </row>
    <row r="230" spans="1:16" x14ac:dyDescent="0.25">
      <c r="A230">
        <v>10053</v>
      </c>
      <c r="B230" t="s">
        <v>1423</v>
      </c>
      <c r="C230">
        <v>10053</v>
      </c>
      <c r="D230" t="s">
        <v>1423</v>
      </c>
      <c r="E230" t="s">
        <v>1423</v>
      </c>
      <c r="F230" t="s">
        <v>1047</v>
      </c>
      <c r="G230" t="s">
        <v>1047</v>
      </c>
      <c r="H230">
        <v>1</v>
      </c>
      <c r="I230">
        <v>1</v>
      </c>
      <c r="J230" t="s">
        <v>1371</v>
      </c>
      <c r="O230" t="s">
        <v>29</v>
      </c>
      <c r="P230">
        <v>70.12</v>
      </c>
    </row>
    <row r="231" spans="1:16" x14ac:dyDescent="0.25">
      <c r="A231">
        <v>10054</v>
      </c>
      <c r="B231" t="s">
        <v>1429</v>
      </c>
      <c r="C231">
        <v>10054</v>
      </c>
      <c r="D231" t="s">
        <v>1429</v>
      </c>
      <c r="E231" t="s">
        <v>1429</v>
      </c>
      <c r="F231" t="s">
        <v>1047</v>
      </c>
      <c r="G231" t="s">
        <v>1047</v>
      </c>
      <c r="H231">
        <v>1</v>
      </c>
      <c r="I231">
        <v>1</v>
      </c>
      <c r="J231" t="s">
        <v>1371</v>
      </c>
      <c r="O231" t="s">
        <v>29</v>
      </c>
      <c r="P231">
        <v>51.74</v>
      </c>
    </row>
    <row r="232" spans="1:16" x14ac:dyDescent="0.25">
      <c r="A232">
        <v>10055</v>
      </c>
      <c r="B232" t="s">
        <v>1430</v>
      </c>
      <c r="C232">
        <v>10055</v>
      </c>
      <c r="D232" t="s">
        <v>1430</v>
      </c>
      <c r="E232" t="s">
        <v>1430</v>
      </c>
      <c r="F232" t="s">
        <v>1047</v>
      </c>
      <c r="G232" t="s">
        <v>1047</v>
      </c>
      <c r="H232">
        <v>1</v>
      </c>
      <c r="I232">
        <v>1</v>
      </c>
      <c r="J232" t="s">
        <v>1371</v>
      </c>
      <c r="O232" t="s">
        <v>29</v>
      </c>
      <c r="P232">
        <v>42.73</v>
      </c>
    </row>
    <row r="233" spans="1:16" x14ac:dyDescent="0.25">
      <c r="A233">
        <v>10056</v>
      </c>
      <c r="B233" t="s">
        <v>1431</v>
      </c>
      <c r="C233">
        <v>10056</v>
      </c>
      <c r="D233" t="s">
        <v>1431</v>
      </c>
      <c r="E233" t="s">
        <v>1431</v>
      </c>
      <c r="F233" t="s">
        <v>1047</v>
      </c>
      <c r="G233" t="s">
        <v>1047</v>
      </c>
      <c r="H233">
        <v>1</v>
      </c>
      <c r="I233">
        <v>1</v>
      </c>
      <c r="J233" t="s">
        <v>1371</v>
      </c>
      <c r="O233" t="s">
        <v>29</v>
      </c>
      <c r="P233">
        <v>79.91</v>
      </c>
    </row>
    <row r="234" spans="1:16" x14ac:dyDescent="0.25">
      <c r="A234" s="181">
        <v>10060</v>
      </c>
      <c r="B234" s="181" t="s">
        <v>850</v>
      </c>
      <c r="C234">
        <v>10060</v>
      </c>
      <c r="D234" t="s">
        <v>1432</v>
      </c>
      <c r="E234" t="s">
        <v>1432</v>
      </c>
      <c r="F234" t="s">
        <v>1047</v>
      </c>
      <c r="G234" t="s">
        <v>1047</v>
      </c>
      <c r="H234">
        <v>1</v>
      </c>
      <c r="I234">
        <v>1</v>
      </c>
      <c r="J234" t="s">
        <v>1371</v>
      </c>
      <c r="O234" t="s">
        <v>29</v>
      </c>
      <c r="P234">
        <v>42.34</v>
      </c>
    </row>
    <row r="235" spans="1:16" x14ac:dyDescent="0.25">
      <c r="A235" s="181">
        <v>10065</v>
      </c>
      <c r="B235" s="181" t="s">
        <v>851</v>
      </c>
      <c r="C235">
        <v>10065</v>
      </c>
      <c r="D235" t="s">
        <v>1433</v>
      </c>
      <c r="E235" t="s">
        <v>1433</v>
      </c>
      <c r="F235" t="s">
        <v>1047</v>
      </c>
      <c r="G235" t="s">
        <v>1047</v>
      </c>
      <c r="H235">
        <v>1</v>
      </c>
      <c r="I235">
        <v>1</v>
      </c>
      <c r="J235" t="s">
        <v>1371</v>
      </c>
      <c r="O235" t="s">
        <v>29</v>
      </c>
      <c r="P235">
        <v>40</v>
      </c>
    </row>
    <row r="236" spans="1:16" x14ac:dyDescent="0.25">
      <c r="A236" s="181">
        <v>10070</v>
      </c>
      <c r="B236" s="181" t="s">
        <v>852</v>
      </c>
      <c r="C236">
        <v>10070</v>
      </c>
      <c r="D236" t="s">
        <v>1434</v>
      </c>
      <c r="E236" t="s">
        <v>1434</v>
      </c>
      <c r="F236" t="s">
        <v>1047</v>
      </c>
      <c r="G236" t="s">
        <v>1047</v>
      </c>
      <c r="H236">
        <v>1</v>
      </c>
      <c r="I236">
        <v>1</v>
      </c>
      <c r="J236" t="s">
        <v>1371</v>
      </c>
      <c r="O236" t="s">
        <v>29</v>
      </c>
      <c r="P236">
        <v>74.7</v>
      </c>
    </row>
    <row r="237" spans="1:16" x14ac:dyDescent="0.25">
      <c r="A237" s="181">
        <v>10075</v>
      </c>
      <c r="B237" s="181" t="s">
        <v>600</v>
      </c>
      <c r="C237">
        <v>10075</v>
      </c>
      <c r="D237" t="s">
        <v>1435</v>
      </c>
      <c r="E237" t="s">
        <v>1435</v>
      </c>
      <c r="F237" t="s">
        <v>1047</v>
      </c>
      <c r="G237" t="s">
        <v>1047</v>
      </c>
      <c r="H237">
        <v>1</v>
      </c>
      <c r="I237">
        <v>1</v>
      </c>
      <c r="J237" t="s">
        <v>1371</v>
      </c>
      <c r="O237" t="s">
        <v>29</v>
      </c>
      <c r="P237">
        <v>65</v>
      </c>
    </row>
    <row r="238" spans="1:16" x14ac:dyDescent="0.25">
      <c r="A238" s="181">
        <v>10090</v>
      </c>
      <c r="B238" s="181" t="s">
        <v>380</v>
      </c>
      <c r="C238">
        <v>10090</v>
      </c>
      <c r="D238" t="s">
        <v>380</v>
      </c>
      <c r="E238" t="s">
        <v>380</v>
      </c>
      <c r="F238" t="s">
        <v>1047</v>
      </c>
      <c r="G238" t="s">
        <v>1047</v>
      </c>
      <c r="H238">
        <v>1</v>
      </c>
      <c r="I238">
        <v>1</v>
      </c>
      <c r="J238" t="s">
        <v>1371</v>
      </c>
      <c r="O238" t="s">
        <v>29</v>
      </c>
      <c r="P238">
        <v>43.79</v>
      </c>
    </row>
    <row r="239" spans="1:16" x14ac:dyDescent="0.25">
      <c r="A239" s="181">
        <v>10100</v>
      </c>
      <c r="B239" s="181" t="s">
        <v>847</v>
      </c>
      <c r="C239">
        <v>10100</v>
      </c>
      <c r="D239" t="s">
        <v>1395</v>
      </c>
      <c r="E239" t="s">
        <v>1395</v>
      </c>
      <c r="F239" t="s">
        <v>1047</v>
      </c>
      <c r="G239" t="s">
        <v>1047</v>
      </c>
      <c r="H239">
        <v>1</v>
      </c>
      <c r="I239">
        <v>1</v>
      </c>
      <c r="J239" t="s">
        <v>1371</v>
      </c>
      <c r="O239" t="s">
        <v>29</v>
      </c>
      <c r="P239">
        <v>12.04</v>
      </c>
    </row>
    <row r="240" spans="1:16" x14ac:dyDescent="0.25">
      <c r="A240" s="181">
        <v>10110</v>
      </c>
      <c r="B240" s="181" t="s">
        <v>848</v>
      </c>
      <c r="C240">
        <v>10110</v>
      </c>
      <c r="D240" t="s">
        <v>1400</v>
      </c>
      <c r="E240" t="s">
        <v>1400</v>
      </c>
      <c r="F240" t="s">
        <v>1047</v>
      </c>
      <c r="G240" t="s">
        <v>1047</v>
      </c>
      <c r="H240">
        <v>1</v>
      </c>
      <c r="I240">
        <v>1</v>
      </c>
      <c r="J240" t="s">
        <v>1371</v>
      </c>
      <c r="O240" t="s">
        <v>29</v>
      </c>
      <c r="P240">
        <v>14.57</v>
      </c>
    </row>
    <row r="241" spans="1:16" x14ac:dyDescent="0.25">
      <c r="A241" s="181">
        <v>10112</v>
      </c>
      <c r="B241" s="181" t="s">
        <v>853</v>
      </c>
      <c r="C241">
        <v>10112</v>
      </c>
      <c r="D241" t="s">
        <v>1414</v>
      </c>
      <c r="E241" t="s">
        <v>1414</v>
      </c>
      <c r="F241" t="s">
        <v>1047</v>
      </c>
      <c r="G241" t="s">
        <v>1047</v>
      </c>
      <c r="H241">
        <v>1</v>
      </c>
      <c r="I241">
        <v>1</v>
      </c>
      <c r="J241" t="s">
        <v>1371</v>
      </c>
      <c r="O241" t="s">
        <v>29</v>
      </c>
      <c r="P241">
        <v>15.26</v>
      </c>
    </row>
    <row r="242" spans="1:16" x14ac:dyDescent="0.25">
      <c r="A242" s="181">
        <v>10117</v>
      </c>
      <c r="B242" s="181" t="s">
        <v>854</v>
      </c>
      <c r="C242">
        <v>10117</v>
      </c>
      <c r="D242" t="s">
        <v>854</v>
      </c>
      <c r="E242" t="s">
        <v>854</v>
      </c>
      <c r="F242" t="s">
        <v>1047</v>
      </c>
      <c r="G242" t="s">
        <v>1047</v>
      </c>
      <c r="H242">
        <v>1</v>
      </c>
      <c r="I242">
        <v>1</v>
      </c>
      <c r="J242" t="s">
        <v>1371</v>
      </c>
      <c r="O242" t="s">
        <v>29</v>
      </c>
      <c r="P242">
        <v>17.7</v>
      </c>
    </row>
    <row r="243" spans="1:16" x14ac:dyDescent="0.25">
      <c r="A243" s="181">
        <v>10120</v>
      </c>
      <c r="B243" s="181" t="s">
        <v>855</v>
      </c>
      <c r="C243">
        <v>10120</v>
      </c>
      <c r="D243" t="s">
        <v>1436</v>
      </c>
      <c r="E243" t="s">
        <v>1436</v>
      </c>
      <c r="F243" t="s">
        <v>1047</v>
      </c>
      <c r="G243" t="s">
        <v>1047</v>
      </c>
      <c r="H243">
        <v>1</v>
      </c>
      <c r="I243">
        <v>1</v>
      </c>
      <c r="J243" t="s">
        <v>1371</v>
      </c>
      <c r="O243" t="s">
        <v>29</v>
      </c>
      <c r="P243">
        <v>18.95</v>
      </c>
    </row>
    <row r="244" spans="1:16" x14ac:dyDescent="0.25">
      <c r="A244" s="181">
        <v>10130</v>
      </c>
      <c r="B244" s="181" t="s">
        <v>856</v>
      </c>
      <c r="C244">
        <v>10130</v>
      </c>
      <c r="D244" t="s">
        <v>1751</v>
      </c>
    </row>
    <row r="245" spans="1:16" x14ac:dyDescent="0.25">
      <c r="A245" s="181">
        <v>10140</v>
      </c>
      <c r="B245" s="181" t="s">
        <v>857</v>
      </c>
      <c r="C245">
        <v>10140</v>
      </c>
      <c r="D245" t="s">
        <v>1396</v>
      </c>
      <c r="E245" t="s">
        <v>1396</v>
      </c>
      <c r="F245" t="s">
        <v>1047</v>
      </c>
      <c r="G245" t="s">
        <v>1047</v>
      </c>
      <c r="H245">
        <v>1</v>
      </c>
      <c r="I245">
        <v>1</v>
      </c>
      <c r="J245" t="s">
        <v>1371</v>
      </c>
      <c r="O245" t="s">
        <v>29</v>
      </c>
      <c r="P245">
        <v>19.920000000000002</v>
      </c>
    </row>
    <row r="246" spans="1:16" x14ac:dyDescent="0.25">
      <c r="A246" s="181">
        <v>10150</v>
      </c>
      <c r="B246" s="181" t="s">
        <v>858</v>
      </c>
      <c r="C246">
        <v>10150</v>
      </c>
      <c r="D246" t="s">
        <v>1401</v>
      </c>
      <c r="E246" t="s">
        <v>1401</v>
      </c>
      <c r="F246" t="s">
        <v>1047</v>
      </c>
      <c r="G246" t="s">
        <v>1047</v>
      </c>
      <c r="H246">
        <v>1</v>
      </c>
      <c r="I246">
        <v>1</v>
      </c>
      <c r="J246" t="s">
        <v>1371</v>
      </c>
      <c r="O246" t="s">
        <v>29</v>
      </c>
      <c r="P246">
        <v>24.62</v>
      </c>
    </row>
    <row r="247" spans="1:16" x14ac:dyDescent="0.25">
      <c r="A247" s="181">
        <v>10160</v>
      </c>
      <c r="B247" s="181" t="s">
        <v>859</v>
      </c>
      <c r="C247">
        <v>10160</v>
      </c>
      <c r="D247" t="s">
        <v>1411</v>
      </c>
      <c r="E247" t="s">
        <v>1411</v>
      </c>
      <c r="F247" t="s">
        <v>1047</v>
      </c>
      <c r="G247" t="s">
        <v>1047</v>
      </c>
      <c r="H247">
        <v>1</v>
      </c>
      <c r="I247">
        <v>1</v>
      </c>
      <c r="J247" t="s">
        <v>1371</v>
      </c>
      <c r="O247" t="s">
        <v>29</v>
      </c>
      <c r="P247">
        <v>29.73</v>
      </c>
    </row>
    <row r="248" spans="1:16" x14ac:dyDescent="0.25">
      <c r="A248" s="181"/>
      <c r="B248" s="181" t="s">
        <v>1746</v>
      </c>
      <c r="C248" t="s">
        <v>1412</v>
      </c>
      <c r="D248" t="s">
        <v>1746</v>
      </c>
      <c r="E248" t="s">
        <v>1747</v>
      </c>
      <c r="F248" t="s">
        <v>1047</v>
      </c>
      <c r="G248" t="s">
        <v>1047</v>
      </c>
      <c r="H248">
        <v>1</v>
      </c>
      <c r="I248">
        <v>1</v>
      </c>
      <c r="J248" t="s">
        <v>1371</v>
      </c>
      <c r="O248" t="s">
        <v>29</v>
      </c>
      <c r="P248">
        <v>0</v>
      </c>
    </row>
    <row r="249" spans="1:16" x14ac:dyDescent="0.25">
      <c r="A249" s="181">
        <v>10170</v>
      </c>
      <c r="B249" s="181" t="s">
        <v>860</v>
      </c>
      <c r="C249">
        <v>10170</v>
      </c>
      <c r="D249" t="s">
        <v>1426</v>
      </c>
      <c r="E249" t="s">
        <v>1426</v>
      </c>
      <c r="F249" t="s">
        <v>1047</v>
      </c>
      <c r="G249" t="s">
        <v>1047</v>
      </c>
      <c r="H249">
        <v>1</v>
      </c>
      <c r="I249">
        <v>1</v>
      </c>
      <c r="J249" t="s">
        <v>1371</v>
      </c>
      <c r="O249" t="s">
        <v>29</v>
      </c>
      <c r="P249">
        <v>32.9</v>
      </c>
    </row>
    <row r="250" spans="1:16" x14ac:dyDescent="0.25">
      <c r="A250" s="181">
        <v>10180</v>
      </c>
      <c r="B250" s="181" t="s">
        <v>861</v>
      </c>
      <c r="C250">
        <v>10180</v>
      </c>
      <c r="D250" t="s">
        <v>1427</v>
      </c>
      <c r="E250" t="s">
        <v>1427</v>
      </c>
      <c r="F250" t="s">
        <v>1047</v>
      </c>
      <c r="G250" t="s">
        <v>1047</v>
      </c>
      <c r="H250">
        <v>1</v>
      </c>
      <c r="I250">
        <v>1</v>
      </c>
      <c r="J250" t="s">
        <v>1371</v>
      </c>
      <c r="O250" t="s">
        <v>29</v>
      </c>
      <c r="P250">
        <v>41.22</v>
      </c>
    </row>
    <row r="251" spans="1:16" x14ac:dyDescent="0.25">
      <c r="A251" s="181">
        <v>10190</v>
      </c>
      <c r="B251" s="181" t="s">
        <v>862</v>
      </c>
      <c r="C251">
        <v>10190</v>
      </c>
      <c r="D251" t="s">
        <v>1437</v>
      </c>
      <c r="E251" t="s">
        <v>1437</v>
      </c>
      <c r="F251" t="s">
        <v>1047</v>
      </c>
      <c r="G251" t="s">
        <v>1047</v>
      </c>
      <c r="H251">
        <v>1</v>
      </c>
      <c r="I251">
        <v>1</v>
      </c>
      <c r="J251" t="s">
        <v>1371</v>
      </c>
      <c r="O251" t="s">
        <v>29</v>
      </c>
      <c r="P251">
        <v>35.270000000000003</v>
      </c>
    </row>
    <row r="252" spans="1:16" x14ac:dyDescent="0.25">
      <c r="A252" s="181">
        <v>10200</v>
      </c>
      <c r="B252" s="181" t="s">
        <v>863</v>
      </c>
      <c r="C252">
        <v>10200</v>
      </c>
      <c r="D252" t="s">
        <v>1438</v>
      </c>
      <c r="E252" t="s">
        <v>1438</v>
      </c>
      <c r="F252" t="s">
        <v>1047</v>
      </c>
      <c r="G252" t="s">
        <v>1047</v>
      </c>
      <c r="H252">
        <v>1</v>
      </c>
      <c r="I252">
        <v>1</v>
      </c>
      <c r="J252" t="s">
        <v>1371</v>
      </c>
      <c r="O252" t="s">
        <v>29</v>
      </c>
      <c r="P252">
        <v>53.94</v>
      </c>
    </row>
    <row r="253" spans="1:16" x14ac:dyDescent="0.25">
      <c r="A253" s="181">
        <v>10210</v>
      </c>
      <c r="B253" s="181" t="s">
        <v>864</v>
      </c>
      <c r="C253">
        <v>10210</v>
      </c>
      <c r="D253" t="s">
        <v>1439</v>
      </c>
      <c r="E253" t="s">
        <v>1439</v>
      </c>
      <c r="F253" t="s">
        <v>1047</v>
      </c>
      <c r="G253" t="s">
        <v>1047</v>
      </c>
      <c r="H253">
        <v>1</v>
      </c>
      <c r="I253">
        <v>1</v>
      </c>
      <c r="J253" t="s">
        <v>1371</v>
      </c>
      <c r="O253" t="s">
        <v>29</v>
      </c>
      <c r="P253">
        <v>43.13</v>
      </c>
    </row>
    <row r="254" spans="1:16" x14ac:dyDescent="0.25">
      <c r="A254" s="181">
        <v>10220</v>
      </c>
      <c r="B254" s="181" t="s">
        <v>865</v>
      </c>
      <c r="C254">
        <v>10220</v>
      </c>
      <c r="D254" t="s">
        <v>1440</v>
      </c>
      <c r="E254" t="s">
        <v>1440</v>
      </c>
      <c r="F254" t="s">
        <v>1047</v>
      </c>
      <c r="G254" t="s">
        <v>1047</v>
      </c>
      <c r="H254">
        <v>1</v>
      </c>
      <c r="I254">
        <v>1</v>
      </c>
      <c r="J254" t="s">
        <v>1371</v>
      </c>
      <c r="O254" t="s">
        <v>29</v>
      </c>
      <c r="P254">
        <v>49.7</v>
      </c>
    </row>
    <row r="255" spans="1:16" x14ac:dyDescent="0.25">
      <c r="A255" s="181">
        <v>11000</v>
      </c>
      <c r="B255" s="181" t="s">
        <v>370</v>
      </c>
      <c r="C255">
        <v>11000</v>
      </c>
      <c r="D255" t="s">
        <v>370</v>
      </c>
      <c r="E255" t="s">
        <v>370</v>
      </c>
      <c r="F255" t="s">
        <v>1047</v>
      </c>
      <c r="G255" t="s">
        <v>1047</v>
      </c>
      <c r="H255">
        <v>1</v>
      </c>
      <c r="I255">
        <v>1</v>
      </c>
      <c r="J255" t="s">
        <v>1371</v>
      </c>
      <c r="O255" t="s">
        <v>29</v>
      </c>
      <c r="P255">
        <v>40.619999999999997</v>
      </c>
    </row>
    <row r="256" spans="1:16" x14ac:dyDescent="0.25">
      <c r="A256">
        <v>11005</v>
      </c>
      <c r="B256" t="s">
        <v>1406</v>
      </c>
      <c r="C256">
        <v>11005</v>
      </c>
      <c r="D256" t="s">
        <v>1406</v>
      </c>
      <c r="E256" t="s">
        <v>1406</v>
      </c>
      <c r="F256" t="s">
        <v>1047</v>
      </c>
      <c r="G256" t="s">
        <v>1047</v>
      </c>
      <c r="H256">
        <v>1</v>
      </c>
      <c r="I256">
        <v>1</v>
      </c>
      <c r="J256" t="s">
        <v>1371</v>
      </c>
      <c r="O256" t="s">
        <v>29</v>
      </c>
      <c r="P256">
        <v>53.98</v>
      </c>
    </row>
    <row r="257" spans="1:16" x14ac:dyDescent="0.25">
      <c r="A257" s="181">
        <v>11010</v>
      </c>
      <c r="B257" s="181" t="s">
        <v>371</v>
      </c>
      <c r="C257">
        <v>11010</v>
      </c>
      <c r="D257" t="s">
        <v>371</v>
      </c>
      <c r="E257" t="s">
        <v>371</v>
      </c>
      <c r="F257" t="s">
        <v>1047</v>
      </c>
      <c r="G257" t="s">
        <v>1047</v>
      </c>
      <c r="H257">
        <v>1</v>
      </c>
      <c r="I257">
        <v>1</v>
      </c>
      <c r="J257" t="s">
        <v>1371</v>
      </c>
      <c r="O257" t="s">
        <v>29</v>
      </c>
      <c r="P257">
        <v>47.33</v>
      </c>
    </row>
    <row r="258" spans="1:16" x14ac:dyDescent="0.25">
      <c r="A258">
        <v>11015</v>
      </c>
      <c r="B258" t="s">
        <v>1419</v>
      </c>
      <c r="C258">
        <v>11015</v>
      </c>
      <c r="D258" t="s">
        <v>1419</v>
      </c>
      <c r="E258" t="s">
        <v>1419</v>
      </c>
      <c r="F258" t="s">
        <v>1047</v>
      </c>
      <c r="G258" t="s">
        <v>1047</v>
      </c>
      <c r="H258">
        <v>1</v>
      </c>
      <c r="I258">
        <v>1</v>
      </c>
      <c r="J258" t="s">
        <v>1371</v>
      </c>
      <c r="O258" t="s">
        <v>29</v>
      </c>
      <c r="P258">
        <v>0</v>
      </c>
    </row>
    <row r="259" spans="1:16" x14ac:dyDescent="0.25">
      <c r="A259" s="181">
        <v>11020</v>
      </c>
      <c r="B259" s="181" t="s">
        <v>372</v>
      </c>
      <c r="C259">
        <v>11020</v>
      </c>
      <c r="D259" t="s">
        <v>372</v>
      </c>
      <c r="E259" t="s">
        <v>372</v>
      </c>
      <c r="F259" t="s">
        <v>1047</v>
      </c>
      <c r="G259" t="s">
        <v>1047</v>
      </c>
      <c r="H259">
        <v>1</v>
      </c>
      <c r="I259">
        <v>1</v>
      </c>
      <c r="J259" t="s">
        <v>1371</v>
      </c>
      <c r="O259" t="s">
        <v>29</v>
      </c>
      <c r="P259">
        <v>54.05</v>
      </c>
    </row>
    <row r="260" spans="1:16" x14ac:dyDescent="0.25">
      <c r="A260">
        <v>11022</v>
      </c>
      <c r="B260" t="s">
        <v>1428</v>
      </c>
      <c r="C260">
        <v>11022</v>
      </c>
      <c r="D260" t="s">
        <v>1428</v>
      </c>
      <c r="E260" t="s">
        <v>1428</v>
      </c>
      <c r="F260" t="s">
        <v>1047</v>
      </c>
      <c r="G260" t="s">
        <v>1047</v>
      </c>
      <c r="H260">
        <v>1</v>
      </c>
      <c r="I260">
        <v>1</v>
      </c>
      <c r="J260" t="s">
        <v>1371</v>
      </c>
      <c r="O260" t="s">
        <v>29</v>
      </c>
      <c r="P260">
        <v>66.62</v>
      </c>
    </row>
    <row r="261" spans="1:16" x14ac:dyDescent="0.25">
      <c r="A261" s="181">
        <v>11024</v>
      </c>
      <c r="B261" s="181" t="s">
        <v>601</v>
      </c>
      <c r="C261">
        <v>11024</v>
      </c>
      <c r="D261" t="s">
        <v>601</v>
      </c>
      <c r="E261" t="s">
        <v>601</v>
      </c>
      <c r="F261" t="s">
        <v>1047</v>
      </c>
      <c r="G261" t="s">
        <v>1047</v>
      </c>
      <c r="H261">
        <v>1</v>
      </c>
      <c r="I261">
        <v>1</v>
      </c>
      <c r="J261" t="s">
        <v>1371</v>
      </c>
      <c r="O261" t="s">
        <v>29</v>
      </c>
      <c r="P261">
        <v>0</v>
      </c>
    </row>
    <row r="262" spans="1:16" x14ac:dyDescent="0.25">
      <c r="A262" s="181">
        <v>11030</v>
      </c>
      <c r="B262" s="181" t="s">
        <v>373</v>
      </c>
      <c r="C262">
        <v>11030</v>
      </c>
      <c r="D262" t="s">
        <v>373</v>
      </c>
      <c r="E262" t="s">
        <v>373</v>
      </c>
      <c r="F262" t="s">
        <v>1047</v>
      </c>
      <c r="G262" t="s">
        <v>1047</v>
      </c>
      <c r="H262">
        <v>1</v>
      </c>
      <c r="I262">
        <v>1</v>
      </c>
      <c r="J262" t="s">
        <v>1371</v>
      </c>
      <c r="O262" t="s">
        <v>29</v>
      </c>
      <c r="P262">
        <v>79.81</v>
      </c>
    </row>
    <row r="263" spans="1:16" x14ac:dyDescent="0.25">
      <c r="A263">
        <v>11035</v>
      </c>
      <c r="B263" t="s">
        <v>1441</v>
      </c>
      <c r="C263">
        <v>11035</v>
      </c>
      <c r="D263" t="s">
        <v>1441</v>
      </c>
      <c r="E263" t="s">
        <v>1441</v>
      </c>
      <c r="F263" t="s">
        <v>1047</v>
      </c>
      <c r="G263" t="s">
        <v>1047</v>
      </c>
      <c r="H263">
        <v>1</v>
      </c>
      <c r="I263">
        <v>1</v>
      </c>
      <c r="J263" t="s">
        <v>1371</v>
      </c>
      <c r="O263" t="s">
        <v>29</v>
      </c>
      <c r="P263">
        <v>89.3</v>
      </c>
    </row>
    <row r="264" spans="1:16" x14ac:dyDescent="0.25">
      <c r="A264" s="181">
        <v>11040</v>
      </c>
      <c r="B264" s="181" t="s">
        <v>866</v>
      </c>
      <c r="C264">
        <v>11040</v>
      </c>
      <c r="D264" t="s">
        <v>866</v>
      </c>
      <c r="E264" t="s">
        <v>866</v>
      </c>
      <c r="F264" t="s">
        <v>1047</v>
      </c>
      <c r="G264" t="s">
        <v>1047</v>
      </c>
      <c r="H264">
        <v>1</v>
      </c>
      <c r="I264">
        <v>1</v>
      </c>
      <c r="J264" t="s">
        <v>1371</v>
      </c>
      <c r="O264" t="s">
        <v>29</v>
      </c>
      <c r="P264">
        <v>3</v>
      </c>
    </row>
    <row r="265" spans="1:16" x14ac:dyDescent="0.25">
      <c r="A265" s="181">
        <v>11050</v>
      </c>
      <c r="B265" s="181" t="s">
        <v>867</v>
      </c>
      <c r="C265">
        <v>11050</v>
      </c>
      <c r="D265" t="s">
        <v>867</v>
      </c>
      <c r="E265" t="s">
        <v>867</v>
      </c>
      <c r="F265" t="s">
        <v>1047</v>
      </c>
      <c r="G265" t="s">
        <v>1047</v>
      </c>
      <c r="H265">
        <v>1</v>
      </c>
      <c r="I265">
        <v>1</v>
      </c>
      <c r="J265" t="s">
        <v>1371</v>
      </c>
      <c r="O265" t="s">
        <v>29</v>
      </c>
      <c r="P265">
        <v>7</v>
      </c>
    </row>
    <row r="266" spans="1:16" x14ac:dyDescent="0.25">
      <c r="A266" s="181">
        <v>11060</v>
      </c>
      <c r="B266" s="181" t="s">
        <v>602</v>
      </c>
      <c r="C266">
        <v>11060</v>
      </c>
      <c r="D266" t="s">
        <v>1377</v>
      </c>
      <c r="E266" t="s">
        <v>1377</v>
      </c>
      <c r="F266" t="s">
        <v>1047</v>
      </c>
      <c r="G266" t="s">
        <v>1047</v>
      </c>
      <c r="H266">
        <v>1</v>
      </c>
      <c r="I266">
        <v>1</v>
      </c>
      <c r="J266" t="s">
        <v>1371</v>
      </c>
      <c r="O266" t="s">
        <v>29</v>
      </c>
      <c r="P266">
        <v>2.75</v>
      </c>
    </row>
    <row r="267" spans="1:16" x14ac:dyDescent="0.25">
      <c r="A267" s="181">
        <v>11061</v>
      </c>
      <c r="B267" s="181" t="s">
        <v>603</v>
      </c>
      <c r="C267">
        <v>11061</v>
      </c>
      <c r="D267" t="s">
        <v>603</v>
      </c>
      <c r="E267" t="s">
        <v>603</v>
      </c>
      <c r="F267" t="s">
        <v>1047</v>
      </c>
      <c r="G267" t="s">
        <v>1047</v>
      </c>
      <c r="H267">
        <v>1</v>
      </c>
      <c r="I267">
        <v>1</v>
      </c>
      <c r="J267" t="s">
        <v>1103</v>
      </c>
      <c r="O267" t="s">
        <v>29</v>
      </c>
      <c r="P267">
        <v>9</v>
      </c>
    </row>
    <row r="268" spans="1:16" x14ac:dyDescent="0.25">
      <c r="A268" s="181">
        <v>11063</v>
      </c>
      <c r="B268" s="181" t="s">
        <v>604</v>
      </c>
      <c r="C268">
        <v>11063</v>
      </c>
      <c r="D268" t="s">
        <v>604</v>
      </c>
      <c r="E268" t="s">
        <v>604</v>
      </c>
      <c r="F268" t="s">
        <v>1047</v>
      </c>
      <c r="G268" t="s">
        <v>1047</v>
      </c>
      <c r="H268">
        <v>1</v>
      </c>
      <c r="I268">
        <v>1</v>
      </c>
      <c r="J268" t="s">
        <v>1371</v>
      </c>
      <c r="O268" t="s">
        <v>29</v>
      </c>
      <c r="P268">
        <v>35.75</v>
      </c>
    </row>
    <row r="269" spans="1:16" x14ac:dyDescent="0.25">
      <c r="A269" s="181">
        <v>11065</v>
      </c>
      <c r="B269" s="181" t="s">
        <v>605</v>
      </c>
      <c r="C269">
        <v>11065</v>
      </c>
      <c r="D269" t="s">
        <v>605</v>
      </c>
      <c r="E269" t="s">
        <v>605</v>
      </c>
      <c r="F269" t="s">
        <v>1047</v>
      </c>
      <c r="G269" t="s">
        <v>1047</v>
      </c>
      <c r="H269">
        <v>1</v>
      </c>
      <c r="I269">
        <v>1</v>
      </c>
      <c r="J269" t="s">
        <v>1371</v>
      </c>
      <c r="O269" t="s">
        <v>29</v>
      </c>
      <c r="P269">
        <v>36.380000000000003</v>
      </c>
    </row>
    <row r="270" spans="1:16" x14ac:dyDescent="0.25">
      <c r="A270" s="181">
        <v>11070</v>
      </c>
      <c r="B270" s="181" t="s">
        <v>366</v>
      </c>
    </row>
    <row r="271" spans="1:16" x14ac:dyDescent="0.25">
      <c r="A271" s="181">
        <v>11080</v>
      </c>
      <c r="B271" s="181" t="s">
        <v>367</v>
      </c>
      <c r="C271">
        <v>11080</v>
      </c>
      <c r="D271" t="s">
        <v>367</v>
      </c>
      <c r="E271" t="s">
        <v>367</v>
      </c>
      <c r="F271" t="s">
        <v>1047</v>
      </c>
      <c r="G271" t="s">
        <v>1047</v>
      </c>
      <c r="H271">
        <v>1</v>
      </c>
      <c r="I271">
        <v>1</v>
      </c>
      <c r="J271" t="s">
        <v>1371</v>
      </c>
      <c r="O271" t="s">
        <v>29</v>
      </c>
      <c r="P271">
        <v>48.06</v>
      </c>
    </row>
    <row r="272" spans="1:16" x14ac:dyDescent="0.25">
      <c r="A272" s="181">
        <v>11090</v>
      </c>
      <c r="B272" s="181" t="s">
        <v>368</v>
      </c>
    </row>
    <row r="273" spans="1:16" x14ac:dyDescent="0.25">
      <c r="A273" s="181">
        <v>11095</v>
      </c>
      <c r="B273" s="181" t="s">
        <v>606</v>
      </c>
      <c r="C273">
        <v>11095</v>
      </c>
      <c r="D273" t="s">
        <v>606</v>
      </c>
      <c r="E273" t="s">
        <v>606</v>
      </c>
      <c r="F273" t="s">
        <v>1047</v>
      </c>
      <c r="G273" t="s">
        <v>1047</v>
      </c>
      <c r="H273">
        <v>1</v>
      </c>
      <c r="I273">
        <v>1</v>
      </c>
      <c r="J273" t="s">
        <v>1371</v>
      </c>
      <c r="O273" t="s">
        <v>29</v>
      </c>
      <c r="P273">
        <v>61.95</v>
      </c>
    </row>
    <row r="274" spans="1:16" x14ac:dyDescent="0.25">
      <c r="A274" s="181">
        <v>11100</v>
      </c>
      <c r="B274" s="181" t="s">
        <v>369</v>
      </c>
      <c r="C274">
        <v>11100</v>
      </c>
      <c r="D274" t="s">
        <v>369</v>
      </c>
      <c r="E274" t="s">
        <v>369</v>
      </c>
      <c r="F274" t="s">
        <v>1047</v>
      </c>
      <c r="G274" t="s">
        <v>1047</v>
      </c>
      <c r="H274">
        <v>1</v>
      </c>
      <c r="I274">
        <v>1</v>
      </c>
      <c r="J274" t="s">
        <v>1371</v>
      </c>
      <c r="O274" t="s">
        <v>29</v>
      </c>
      <c r="P274">
        <v>65.540000000000006</v>
      </c>
    </row>
    <row r="275" spans="1:16" x14ac:dyDescent="0.25">
      <c r="A275" s="181">
        <v>12000</v>
      </c>
      <c r="B275" s="181" t="s">
        <v>608</v>
      </c>
    </row>
    <row r="276" spans="1:16" x14ac:dyDescent="0.25">
      <c r="A276" s="181">
        <v>12010</v>
      </c>
      <c r="B276" s="181" t="s">
        <v>381</v>
      </c>
    </row>
    <row r="277" spans="1:16" x14ac:dyDescent="0.25">
      <c r="A277" s="181">
        <v>12020</v>
      </c>
      <c r="B277" s="181" t="s">
        <v>382</v>
      </c>
      <c r="C277">
        <v>12020</v>
      </c>
      <c r="D277" t="s">
        <v>382</v>
      </c>
      <c r="E277" t="s">
        <v>382</v>
      </c>
      <c r="F277" t="s">
        <v>1047</v>
      </c>
      <c r="G277" t="s">
        <v>1047</v>
      </c>
      <c r="H277">
        <v>1</v>
      </c>
      <c r="I277">
        <v>1</v>
      </c>
      <c r="J277" t="s">
        <v>1371</v>
      </c>
      <c r="O277" t="s">
        <v>29</v>
      </c>
      <c r="P277">
        <v>41.17</v>
      </c>
    </row>
    <row r="278" spans="1:16" x14ac:dyDescent="0.25">
      <c r="A278" s="181">
        <v>13320</v>
      </c>
      <c r="B278" s="215" t="s">
        <v>908</v>
      </c>
    </row>
    <row r="279" spans="1:16" x14ac:dyDescent="0.25">
      <c r="A279" s="181">
        <v>13330</v>
      </c>
      <c r="B279" s="215" t="s">
        <v>647</v>
      </c>
    </row>
    <row r="280" spans="1:16" x14ac:dyDescent="0.25">
      <c r="A280" s="181">
        <v>13340</v>
      </c>
      <c r="B280" s="215" t="s">
        <v>364</v>
      </c>
      <c r="C280">
        <v>13340</v>
      </c>
      <c r="D280" t="s">
        <v>364</v>
      </c>
      <c r="E280" t="s">
        <v>364</v>
      </c>
      <c r="F280" t="s">
        <v>1047</v>
      </c>
      <c r="G280" t="s">
        <v>1047</v>
      </c>
      <c r="H280">
        <v>1</v>
      </c>
      <c r="I280">
        <v>1</v>
      </c>
      <c r="J280" t="s">
        <v>1371</v>
      </c>
      <c r="O280" t="s">
        <v>29</v>
      </c>
      <c r="P280">
        <v>5.95</v>
      </c>
    </row>
    <row r="281" spans="1:16" x14ac:dyDescent="0.25">
      <c r="A281" s="181">
        <v>13350</v>
      </c>
      <c r="B281" s="215" t="s">
        <v>365</v>
      </c>
      <c r="C281">
        <v>13350</v>
      </c>
      <c r="D281" t="s">
        <v>365</v>
      </c>
      <c r="E281" t="s">
        <v>365</v>
      </c>
      <c r="F281" t="s">
        <v>1047</v>
      </c>
      <c r="G281" t="s">
        <v>1047</v>
      </c>
      <c r="H281">
        <v>1</v>
      </c>
      <c r="I281">
        <v>1</v>
      </c>
      <c r="J281" t="s">
        <v>1371</v>
      </c>
      <c r="O281" t="s">
        <v>29</v>
      </c>
      <c r="P281">
        <v>3.16</v>
      </c>
    </row>
    <row r="282" spans="1:16" x14ac:dyDescent="0.25">
      <c r="A282" s="181">
        <v>13355</v>
      </c>
      <c r="B282" s="215" t="s">
        <v>648</v>
      </c>
      <c r="C282">
        <v>13355</v>
      </c>
      <c r="D282" t="s">
        <v>648</v>
      </c>
      <c r="E282" t="s">
        <v>648</v>
      </c>
      <c r="F282" t="s">
        <v>1047</v>
      </c>
      <c r="G282" t="s">
        <v>1047</v>
      </c>
      <c r="H282">
        <v>1</v>
      </c>
      <c r="I282">
        <v>1</v>
      </c>
      <c r="J282" t="s">
        <v>1371</v>
      </c>
      <c r="O282" t="s">
        <v>29</v>
      </c>
      <c r="P282">
        <v>3.68</v>
      </c>
    </row>
    <row r="283" spans="1:16" x14ac:dyDescent="0.25">
      <c r="A283" s="181">
        <v>20140</v>
      </c>
      <c r="B283" s="216" t="s">
        <v>437</v>
      </c>
      <c r="C283">
        <v>20140</v>
      </c>
      <c r="D283" t="s">
        <v>437</v>
      </c>
      <c r="E283" t="s">
        <v>437</v>
      </c>
      <c r="F283" t="s">
        <v>1047</v>
      </c>
      <c r="G283" t="s">
        <v>1047</v>
      </c>
      <c r="H283">
        <v>1</v>
      </c>
      <c r="I283">
        <v>1</v>
      </c>
      <c r="J283" t="s">
        <v>1371</v>
      </c>
      <c r="O283" t="s">
        <v>29</v>
      </c>
      <c r="P283">
        <v>34.229999999999997</v>
      </c>
    </row>
    <row r="284" spans="1:16" x14ac:dyDescent="0.25">
      <c r="A284" s="181">
        <v>20150</v>
      </c>
      <c r="B284" s="216" t="s">
        <v>438</v>
      </c>
      <c r="C284" t="s">
        <v>1486</v>
      </c>
      <c r="D284" t="s">
        <v>1485</v>
      </c>
      <c r="E284" t="s">
        <v>1485</v>
      </c>
      <c r="F284" t="s">
        <v>1047</v>
      </c>
      <c r="G284" t="s">
        <v>1047</v>
      </c>
      <c r="H284">
        <v>1</v>
      </c>
      <c r="I284">
        <v>1</v>
      </c>
      <c r="J284" t="s">
        <v>1371</v>
      </c>
      <c r="O284" t="s">
        <v>29</v>
      </c>
      <c r="P284">
        <v>0</v>
      </c>
    </row>
    <row r="285" spans="1:16" x14ac:dyDescent="0.25">
      <c r="A285" s="181">
        <v>12030</v>
      </c>
      <c r="B285" s="181" t="s">
        <v>320</v>
      </c>
      <c r="C285">
        <v>12030</v>
      </c>
      <c r="D285" t="s">
        <v>320</v>
      </c>
      <c r="E285" t="s">
        <v>320</v>
      </c>
      <c r="F285" t="s">
        <v>1047</v>
      </c>
      <c r="G285" t="s">
        <v>1047</v>
      </c>
      <c r="H285">
        <v>1</v>
      </c>
      <c r="I285">
        <v>1</v>
      </c>
      <c r="J285" t="s">
        <v>1371</v>
      </c>
      <c r="O285" t="s">
        <v>29</v>
      </c>
      <c r="P285">
        <v>3.46</v>
      </c>
    </row>
    <row r="286" spans="1:16" x14ac:dyDescent="0.25">
      <c r="A286" s="181">
        <v>12040</v>
      </c>
      <c r="B286" s="181" t="s">
        <v>321</v>
      </c>
      <c r="C286">
        <v>12040</v>
      </c>
      <c r="D286" t="s">
        <v>321</v>
      </c>
      <c r="E286" t="s">
        <v>321</v>
      </c>
      <c r="F286" t="s">
        <v>1047</v>
      </c>
      <c r="G286" t="s">
        <v>1047</v>
      </c>
      <c r="H286">
        <v>1</v>
      </c>
      <c r="I286">
        <v>1</v>
      </c>
      <c r="J286" t="s">
        <v>1371</v>
      </c>
      <c r="O286" t="s">
        <v>29</v>
      </c>
      <c r="P286">
        <v>3.09</v>
      </c>
    </row>
    <row r="287" spans="1:16" x14ac:dyDescent="0.25">
      <c r="A287" s="181">
        <v>12050</v>
      </c>
      <c r="B287" s="181" t="s">
        <v>322</v>
      </c>
      <c r="C287">
        <v>12050</v>
      </c>
      <c r="D287" t="s">
        <v>322</v>
      </c>
      <c r="E287" t="s">
        <v>322</v>
      </c>
      <c r="F287" t="s">
        <v>1047</v>
      </c>
      <c r="G287" t="s">
        <v>1047</v>
      </c>
      <c r="H287">
        <v>1</v>
      </c>
      <c r="I287">
        <v>1</v>
      </c>
      <c r="J287" t="s">
        <v>1371</v>
      </c>
      <c r="O287" t="s">
        <v>29</v>
      </c>
      <c r="P287">
        <v>3.98</v>
      </c>
    </row>
    <row r="288" spans="1:16" x14ac:dyDescent="0.25">
      <c r="A288" s="181">
        <v>12060</v>
      </c>
      <c r="B288" s="181" t="s">
        <v>323</v>
      </c>
      <c r="C288">
        <v>12060</v>
      </c>
      <c r="D288" t="s">
        <v>323</v>
      </c>
      <c r="E288" t="s">
        <v>323</v>
      </c>
      <c r="F288" t="s">
        <v>1047</v>
      </c>
      <c r="G288" t="s">
        <v>1047</v>
      </c>
      <c r="H288">
        <v>1</v>
      </c>
      <c r="I288">
        <v>1</v>
      </c>
      <c r="J288" t="s">
        <v>1371</v>
      </c>
      <c r="O288" t="s">
        <v>29</v>
      </c>
      <c r="P288">
        <v>5.85</v>
      </c>
    </row>
    <row r="289" spans="1:16" x14ac:dyDescent="0.25">
      <c r="A289" s="181">
        <v>12070</v>
      </c>
      <c r="B289" s="181" t="s">
        <v>324</v>
      </c>
      <c r="C289">
        <v>12070</v>
      </c>
      <c r="D289" t="s">
        <v>324</v>
      </c>
      <c r="E289" t="s">
        <v>324</v>
      </c>
      <c r="F289" t="s">
        <v>1047</v>
      </c>
      <c r="G289" t="s">
        <v>1047</v>
      </c>
      <c r="H289">
        <v>1</v>
      </c>
      <c r="I289">
        <v>1</v>
      </c>
      <c r="J289" t="s">
        <v>1371</v>
      </c>
      <c r="O289" t="s">
        <v>29</v>
      </c>
      <c r="P289">
        <v>5.18</v>
      </c>
    </row>
    <row r="290" spans="1:16" x14ac:dyDescent="0.25">
      <c r="A290" s="181">
        <v>12080</v>
      </c>
      <c r="B290" s="181" t="s">
        <v>868</v>
      </c>
      <c r="C290">
        <v>12080</v>
      </c>
      <c r="D290" t="s">
        <v>868</v>
      </c>
      <c r="E290" t="s">
        <v>868</v>
      </c>
      <c r="F290" t="s">
        <v>1047</v>
      </c>
      <c r="G290" t="s">
        <v>1047</v>
      </c>
      <c r="H290">
        <v>1</v>
      </c>
      <c r="I290">
        <v>1</v>
      </c>
      <c r="J290" t="s">
        <v>1371</v>
      </c>
      <c r="O290" t="s">
        <v>29</v>
      </c>
      <c r="P290">
        <v>9.11</v>
      </c>
    </row>
    <row r="291" spans="1:16" x14ac:dyDescent="0.25">
      <c r="A291" s="181">
        <v>12090</v>
      </c>
      <c r="B291" s="181" t="s">
        <v>325</v>
      </c>
      <c r="C291">
        <v>12090</v>
      </c>
      <c r="D291" t="s">
        <v>325</v>
      </c>
      <c r="E291" t="s">
        <v>325</v>
      </c>
      <c r="F291" t="s">
        <v>1047</v>
      </c>
      <c r="G291" t="s">
        <v>1047</v>
      </c>
      <c r="H291">
        <v>1</v>
      </c>
      <c r="I291">
        <v>1</v>
      </c>
      <c r="J291" t="s">
        <v>1371</v>
      </c>
      <c r="O291" t="s">
        <v>29</v>
      </c>
      <c r="P291">
        <v>4.05</v>
      </c>
    </row>
    <row r="292" spans="1:16" x14ac:dyDescent="0.25">
      <c r="A292" s="181">
        <v>12100</v>
      </c>
      <c r="B292" s="181" t="s">
        <v>326</v>
      </c>
      <c r="C292">
        <v>12100</v>
      </c>
      <c r="D292" t="s">
        <v>326</v>
      </c>
      <c r="E292" t="s">
        <v>326</v>
      </c>
      <c r="F292" t="s">
        <v>1047</v>
      </c>
      <c r="G292" t="s">
        <v>1047</v>
      </c>
      <c r="H292">
        <v>1</v>
      </c>
      <c r="I292">
        <v>1</v>
      </c>
      <c r="J292" t="s">
        <v>1371</v>
      </c>
      <c r="O292" t="s">
        <v>29</v>
      </c>
      <c r="P292">
        <v>3.1</v>
      </c>
    </row>
    <row r="293" spans="1:16" x14ac:dyDescent="0.25">
      <c r="A293" s="181">
        <v>12110</v>
      </c>
      <c r="B293" s="181" t="s">
        <v>327</v>
      </c>
      <c r="C293">
        <v>12110</v>
      </c>
      <c r="D293" t="s">
        <v>327</v>
      </c>
      <c r="E293" t="s">
        <v>327</v>
      </c>
      <c r="F293" t="s">
        <v>1047</v>
      </c>
      <c r="G293" t="s">
        <v>1047</v>
      </c>
      <c r="H293">
        <v>1</v>
      </c>
      <c r="I293">
        <v>1</v>
      </c>
      <c r="J293" t="s">
        <v>1371</v>
      </c>
      <c r="O293" t="s">
        <v>29</v>
      </c>
      <c r="P293">
        <v>4.3099999999999996</v>
      </c>
    </row>
    <row r="294" spans="1:16" x14ac:dyDescent="0.25">
      <c r="A294" s="181">
        <v>12120</v>
      </c>
      <c r="B294" s="181" t="s">
        <v>328</v>
      </c>
      <c r="C294">
        <v>12120</v>
      </c>
      <c r="D294" t="s">
        <v>328</v>
      </c>
      <c r="E294" t="s">
        <v>328</v>
      </c>
      <c r="F294" t="s">
        <v>1047</v>
      </c>
      <c r="G294" t="s">
        <v>1047</v>
      </c>
      <c r="H294">
        <v>1</v>
      </c>
      <c r="I294">
        <v>1</v>
      </c>
      <c r="J294" t="s">
        <v>1371</v>
      </c>
      <c r="O294" t="s">
        <v>29</v>
      </c>
      <c r="P294">
        <v>6.95</v>
      </c>
    </row>
    <row r="295" spans="1:16" x14ac:dyDescent="0.25">
      <c r="A295" s="181">
        <v>12130</v>
      </c>
      <c r="B295" s="181" t="s">
        <v>329</v>
      </c>
      <c r="C295">
        <v>12130</v>
      </c>
      <c r="D295" t="s">
        <v>329</v>
      </c>
      <c r="E295" t="s">
        <v>329</v>
      </c>
      <c r="F295" t="s">
        <v>1047</v>
      </c>
      <c r="G295" t="s">
        <v>1047</v>
      </c>
      <c r="H295">
        <v>1</v>
      </c>
      <c r="I295">
        <v>1</v>
      </c>
      <c r="J295" t="s">
        <v>1371</v>
      </c>
      <c r="O295" t="s">
        <v>29</v>
      </c>
      <c r="P295">
        <v>5.65</v>
      </c>
    </row>
    <row r="296" spans="1:16" x14ac:dyDescent="0.25">
      <c r="A296" s="181">
        <v>12140</v>
      </c>
      <c r="B296" s="181" t="s">
        <v>609</v>
      </c>
      <c r="C296">
        <v>12140</v>
      </c>
      <c r="D296" t="s">
        <v>609</v>
      </c>
      <c r="E296" t="s">
        <v>609</v>
      </c>
      <c r="F296" t="s">
        <v>1047</v>
      </c>
      <c r="G296" t="s">
        <v>1047</v>
      </c>
      <c r="H296">
        <v>1</v>
      </c>
      <c r="I296">
        <v>1</v>
      </c>
      <c r="J296" t="s">
        <v>1371</v>
      </c>
      <c r="O296" t="s">
        <v>29</v>
      </c>
      <c r="P296">
        <v>9.65</v>
      </c>
    </row>
    <row r="297" spans="1:16" x14ac:dyDescent="0.25">
      <c r="A297" s="181">
        <v>12150</v>
      </c>
      <c r="B297" s="181" t="s">
        <v>330</v>
      </c>
      <c r="C297">
        <v>12150</v>
      </c>
      <c r="D297" t="s">
        <v>330</v>
      </c>
      <c r="E297" t="s">
        <v>330</v>
      </c>
      <c r="F297" t="s">
        <v>1047</v>
      </c>
      <c r="G297" t="s">
        <v>1047</v>
      </c>
      <c r="H297">
        <v>1</v>
      </c>
      <c r="I297">
        <v>1</v>
      </c>
      <c r="J297" t="s">
        <v>1371</v>
      </c>
      <c r="O297" t="s">
        <v>29</v>
      </c>
      <c r="P297">
        <v>4.6500000000000004</v>
      </c>
    </row>
    <row r="298" spans="1:16" x14ac:dyDescent="0.25">
      <c r="A298" s="181">
        <v>12160</v>
      </c>
      <c r="B298" s="181" t="s">
        <v>331</v>
      </c>
      <c r="C298">
        <v>12160</v>
      </c>
      <c r="D298" t="s">
        <v>331</v>
      </c>
      <c r="E298" t="s">
        <v>331</v>
      </c>
      <c r="F298" t="s">
        <v>1047</v>
      </c>
      <c r="G298" t="s">
        <v>1047</v>
      </c>
      <c r="H298">
        <v>1</v>
      </c>
      <c r="I298">
        <v>1</v>
      </c>
      <c r="J298" t="s">
        <v>1371</v>
      </c>
      <c r="O298" t="s">
        <v>29</v>
      </c>
      <c r="P298">
        <v>4.09</v>
      </c>
    </row>
    <row r="299" spans="1:16" x14ac:dyDescent="0.25">
      <c r="A299" s="181">
        <v>12170</v>
      </c>
      <c r="B299" s="181" t="s">
        <v>332</v>
      </c>
      <c r="C299">
        <v>12170</v>
      </c>
      <c r="D299" t="s">
        <v>332</v>
      </c>
      <c r="E299" t="s">
        <v>332</v>
      </c>
      <c r="F299" t="s">
        <v>1047</v>
      </c>
      <c r="G299" t="s">
        <v>1047</v>
      </c>
      <c r="H299">
        <v>1</v>
      </c>
      <c r="I299">
        <v>1</v>
      </c>
      <c r="J299" t="s">
        <v>1371</v>
      </c>
      <c r="O299" t="s">
        <v>29</v>
      </c>
      <c r="P299">
        <v>5.32</v>
      </c>
    </row>
    <row r="300" spans="1:16" x14ac:dyDescent="0.25">
      <c r="A300" s="181">
        <v>12180</v>
      </c>
      <c r="B300" s="181" t="s">
        <v>333</v>
      </c>
      <c r="C300">
        <v>12180</v>
      </c>
      <c r="D300" t="s">
        <v>333</v>
      </c>
      <c r="E300" t="s">
        <v>333</v>
      </c>
      <c r="F300" t="s">
        <v>1047</v>
      </c>
      <c r="G300" t="s">
        <v>1047</v>
      </c>
      <c r="H300">
        <v>1</v>
      </c>
      <c r="I300">
        <v>1</v>
      </c>
      <c r="J300" t="s">
        <v>1371</v>
      </c>
      <c r="O300" t="s">
        <v>29</v>
      </c>
      <c r="P300">
        <v>6.89</v>
      </c>
    </row>
    <row r="301" spans="1:16" x14ac:dyDescent="0.25">
      <c r="A301" s="181">
        <v>12190</v>
      </c>
      <c r="B301" s="181" t="s">
        <v>334</v>
      </c>
      <c r="C301">
        <v>12190</v>
      </c>
      <c r="D301" t="s">
        <v>334</v>
      </c>
      <c r="E301" t="s">
        <v>334</v>
      </c>
      <c r="F301" t="s">
        <v>1047</v>
      </c>
      <c r="G301" t="s">
        <v>1047</v>
      </c>
      <c r="H301">
        <v>1</v>
      </c>
      <c r="I301">
        <v>1</v>
      </c>
      <c r="J301" t="s">
        <v>1371</v>
      </c>
      <c r="O301" t="s">
        <v>29</v>
      </c>
      <c r="P301">
        <v>7.4</v>
      </c>
    </row>
    <row r="302" spans="1:16" x14ac:dyDescent="0.25">
      <c r="A302" s="181">
        <v>12200</v>
      </c>
      <c r="B302" s="181" t="s">
        <v>610</v>
      </c>
      <c r="C302">
        <v>12200</v>
      </c>
      <c r="D302" t="s">
        <v>610</v>
      </c>
      <c r="E302" t="s">
        <v>610</v>
      </c>
      <c r="F302" t="s">
        <v>1047</v>
      </c>
      <c r="G302" t="s">
        <v>1047</v>
      </c>
      <c r="H302">
        <v>1</v>
      </c>
      <c r="I302">
        <v>1</v>
      </c>
      <c r="J302" t="s">
        <v>1371</v>
      </c>
      <c r="O302" t="s">
        <v>29</v>
      </c>
      <c r="P302">
        <v>7.51</v>
      </c>
    </row>
    <row r="303" spans="1:16" x14ac:dyDescent="0.25">
      <c r="A303">
        <v>12201</v>
      </c>
      <c r="B303" t="s">
        <v>1469</v>
      </c>
      <c r="C303">
        <v>12201</v>
      </c>
      <c r="D303" t="s">
        <v>1469</v>
      </c>
      <c r="F303" t="s">
        <v>1047</v>
      </c>
      <c r="G303" t="s">
        <v>1047</v>
      </c>
      <c r="H303">
        <v>1</v>
      </c>
      <c r="I303">
        <v>1</v>
      </c>
      <c r="J303" t="s">
        <v>1371</v>
      </c>
      <c r="O303" t="s">
        <v>29</v>
      </c>
      <c r="P303">
        <v>42</v>
      </c>
    </row>
    <row r="304" spans="1:16" x14ac:dyDescent="0.25">
      <c r="A304">
        <v>12202</v>
      </c>
      <c r="B304" t="s">
        <v>1468</v>
      </c>
      <c r="C304">
        <v>12202</v>
      </c>
      <c r="D304" t="s">
        <v>1468</v>
      </c>
      <c r="E304" t="s">
        <v>1468</v>
      </c>
      <c r="F304" t="s">
        <v>1047</v>
      </c>
      <c r="G304" t="s">
        <v>1047</v>
      </c>
      <c r="H304">
        <v>1</v>
      </c>
      <c r="I304">
        <v>1</v>
      </c>
      <c r="J304" t="s">
        <v>1371</v>
      </c>
      <c r="O304" t="s">
        <v>29</v>
      </c>
      <c r="P304">
        <v>36.25</v>
      </c>
    </row>
    <row r="305" spans="1:16" x14ac:dyDescent="0.25">
      <c r="A305">
        <v>12203</v>
      </c>
      <c r="B305" t="s">
        <v>1456</v>
      </c>
      <c r="C305">
        <v>12203</v>
      </c>
      <c r="D305" t="s">
        <v>1456</v>
      </c>
      <c r="E305" t="s">
        <v>1456</v>
      </c>
      <c r="F305" t="s">
        <v>1047</v>
      </c>
      <c r="G305" t="s">
        <v>1047</v>
      </c>
      <c r="H305">
        <v>1</v>
      </c>
      <c r="I305">
        <v>1</v>
      </c>
      <c r="J305" t="s">
        <v>1371</v>
      </c>
      <c r="O305" t="s">
        <v>29</v>
      </c>
      <c r="P305">
        <v>0</v>
      </c>
    </row>
    <row r="306" spans="1:16" x14ac:dyDescent="0.25">
      <c r="A306">
        <v>12204</v>
      </c>
      <c r="B306" t="s">
        <v>1467</v>
      </c>
      <c r="C306">
        <v>12204</v>
      </c>
      <c r="D306" t="s">
        <v>1467</v>
      </c>
      <c r="E306" t="s">
        <v>1467</v>
      </c>
      <c r="F306" t="s">
        <v>1047</v>
      </c>
      <c r="G306" t="s">
        <v>1047</v>
      </c>
      <c r="H306">
        <v>1</v>
      </c>
      <c r="I306">
        <v>1</v>
      </c>
      <c r="J306" t="s">
        <v>1371</v>
      </c>
      <c r="O306" t="s">
        <v>29</v>
      </c>
      <c r="P306">
        <v>34.35</v>
      </c>
    </row>
    <row r="307" spans="1:16" x14ac:dyDescent="0.25">
      <c r="A307">
        <v>12205</v>
      </c>
      <c r="B307" t="s">
        <v>1413</v>
      </c>
      <c r="C307">
        <v>12205</v>
      </c>
      <c r="D307" t="s">
        <v>1413</v>
      </c>
      <c r="E307" t="s">
        <v>1413</v>
      </c>
      <c r="F307" t="s">
        <v>1047</v>
      </c>
      <c r="G307" t="s">
        <v>1047</v>
      </c>
      <c r="H307">
        <v>1</v>
      </c>
      <c r="I307">
        <v>1</v>
      </c>
      <c r="J307" t="s">
        <v>1371</v>
      </c>
      <c r="O307" t="s">
        <v>29</v>
      </c>
      <c r="P307">
        <v>24.25</v>
      </c>
    </row>
    <row r="308" spans="1:16" x14ac:dyDescent="0.25">
      <c r="A308">
        <v>12206</v>
      </c>
      <c r="B308" t="s">
        <v>1480</v>
      </c>
      <c r="C308">
        <v>12206</v>
      </c>
      <c r="D308" t="s">
        <v>1480</v>
      </c>
      <c r="E308" t="s">
        <v>1480</v>
      </c>
      <c r="F308" t="s">
        <v>1047</v>
      </c>
      <c r="G308" t="s">
        <v>1047</v>
      </c>
      <c r="H308">
        <v>1</v>
      </c>
      <c r="I308">
        <v>1</v>
      </c>
      <c r="J308" t="s">
        <v>1371</v>
      </c>
      <c r="O308" t="s">
        <v>29</v>
      </c>
      <c r="P308">
        <v>57</v>
      </c>
    </row>
    <row r="309" spans="1:16" x14ac:dyDescent="0.25">
      <c r="A309">
        <v>12207</v>
      </c>
      <c r="B309" t="s">
        <v>1481</v>
      </c>
      <c r="C309">
        <v>12207</v>
      </c>
      <c r="D309" t="s">
        <v>1481</v>
      </c>
      <c r="E309" t="s">
        <v>1481</v>
      </c>
      <c r="F309" t="s">
        <v>1047</v>
      </c>
      <c r="G309" t="s">
        <v>1047</v>
      </c>
      <c r="H309">
        <v>1</v>
      </c>
      <c r="I309">
        <v>1</v>
      </c>
      <c r="J309" t="s">
        <v>1371</v>
      </c>
      <c r="O309" t="s">
        <v>29</v>
      </c>
      <c r="P309">
        <v>37.5</v>
      </c>
    </row>
    <row r="310" spans="1:16" x14ac:dyDescent="0.25">
      <c r="A310">
        <v>12208</v>
      </c>
      <c r="B310" t="s">
        <v>1410</v>
      </c>
      <c r="C310">
        <v>12208</v>
      </c>
      <c r="D310" t="s">
        <v>1410</v>
      </c>
      <c r="E310" t="s">
        <v>1410</v>
      </c>
      <c r="F310" t="s">
        <v>1047</v>
      </c>
      <c r="G310" t="s">
        <v>1047</v>
      </c>
      <c r="H310">
        <v>1</v>
      </c>
      <c r="I310">
        <v>1</v>
      </c>
      <c r="J310" t="s">
        <v>1371</v>
      </c>
      <c r="O310" t="s">
        <v>29</v>
      </c>
      <c r="P310">
        <v>160</v>
      </c>
    </row>
    <row r="311" spans="1:16" x14ac:dyDescent="0.25">
      <c r="A311" s="181">
        <v>12210</v>
      </c>
      <c r="B311" s="181" t="s">
        <v>335</v>
      </c>
      <c r="C311">
        <v>12210</v>
      </c>
      <c r="D311" t="s">
        <v>335</v>
      </c>
      <c r="E311" t="s">
        <v>335</v>
      </c>
      <c r="F311" t="s">
        <v>1047</v>
      </c>
      <c r="G311" t="s">
        <v>1047</v>
      </c>
      <c r="H311">
        <v>1</v>
      </c>
      <c r="I311">
        <v>1</v>
      </c>
      <c r="J311" t="s">
        <v>1371</v>
      </c>
      <c r="O311" t="s">
        <v>29</v>
      </c>
      <c r="P311">
        <v>3.32</v>
      </c>
    </row>
    <row r="312" spans="1:16" x14ac:dyDescent="0.25">
      <c r="A312">
        <v>12245</v>
      </c>
      <c r="B312" t="s">
        <v>1385</v>
      </c>
      <c r="C312">
        <v>12245</v>
      </c>
      <c r="D312" t="s">
        <v>1385</v>
      </c>
      <c r="E312" t="s">
        <v>1385</v>
      </c>
      <c r="F312" t="s">
        <v>1047</v>
      </c>
      <c r="G312" t="s">
        <v>1047</v>
      </c>
      <c r="H312">
        <v>1</v>
      </c>
      <c r="I312">
        <v>1</v>
      </c>
      <c r="J312" t="s">
        <v>1371</v>
      </c>
      <c r="O312" t="s">
        <v>29</v>
      </c>
      <c r="P312">
        <v>4.17</v>
      </c>
    </row>
    <row r="313" spans="1:16" x14ac:dyDescent="0.25">
      <c r="A313" s="181">
        <v>12220</v>
      </c>
      <c r="B313" s="181" t="s">
        <v>336</v>
      </c>
      <c r="C313">
        <v>12220</v>
      </c>
      <c r="D313" t="s">
        <v>336</v>
      </c>
      <c r="E313" t="s">
        <v>336</v>
      </c>
      <c r="F313" t="s">
        <v>1047</v>
      </c>
      <c r="G313" t="s">
        <v>1047</v>
      </c>
      <c r="H313">
        <v>1</v>
      </c>
      <c r="I313">
        <v>1</v>
      </c>
      <c r="J313" t="s">
        <v>1371</v>
      </c>
      <c r="O313" t="s">
        <v>29</v>
      </c>
      <c r="P313">
        <v>3.31</v>
      </c>
    </row>
    <row r="314" spans="1:16" x14ac:dyDescent="0.25">
      <c r="A314">
        <v>12246</v>
      </c>
      <c r="B314" t="s">
        <v>1398</v>
      </c>
      <c r="C314">
        <v>12246</v>
      </c>
      <c r="D314" t="s">
        <v>1398</v>
      </c>
      <c r="F314" t="s">
        <v>1047</v>
      </c>
      <c r="G314" t="s">
        <v>1047</v>
      </c>
      <c r="H314">
        <v>1</v>
      </c>
      <c r="I314">
        <v>1</v>
      </c>
      <c r="J314" t="s">
        <v>1371</v>
      </c>
      <c r="O314" t="s">
        <v>29</v>
      </c>
      <c r="P314">
        <v>4.17</v>
      </c>
    </row>
    <row r="315" spans="1:16" x14ac:dyDescent="0.25">
      <c r="A315" s="181">
        <v>12230</v>
      </c>
      <c r="B315" s="181" t="s">
        <v>337</v>
      </c>
      <c r="C315">
        <v>12230</v>
      </c>
      <c r="D315" t="s">
        <v>337</v>
      </c>
      <c r="E315" t="s">
        <v>337</v>
      </c>
      <c r="F315" t="s">
        <v>1047</v>
      </c>
      <c r="G315" t="s">
        <v>1047</v>
      </c>
      <c r="H315">
        <v>1</v>
      </c>
      <c r="I315">
        <v>1</v>
      </c>
      <c r="J315" t="s">
        <v>1371</v>
      </c>
      <c r="O315" t="s">
        <v>29</v>
      </c>
      <c r="P315">
        <v>4.53</v>
      </c>
    </row>
    <row r="316" spans="1:16" x14ac:dyDescent="0.25">
      <c r="A316" s="181">
        <v>12240</v>
      </c>
      <c r="B316" s="181" t="s">
        <v>338</v>
      </c>
      <c r="C316">
        <v>12240</v>
      </c>
      <c r="D316" t="s">
        <v>338</v>
      </c>
      <c r="E316" t="s">
        <v>338</v>
      </c>
      <c r="F316" t="s">
        <v>1047</v>
      </c>
      <c r="G316" t="s">
        <v>1047</v>
      </c>
      <c r="H316">
        <v>1</v>
      </c>
      <c r="I316">
        <v>1</v>
      </c>
      <c r="J316" t="s">
        <v>1371</v>
      </c>
      <c r="O316" t="s">
        <v>29</v>
      </c>
      <c r="P316">
        <v>4.09</v>
      </c>
    </row>
    <row r="317" spans="1:16" x14ac:dyDescent="0.25">
      <c r="A317" s="181">
        <v>12250</v>
      </c>
      <c r="B317" s="181" t="s">
        <v>339</v>
      </c>
    </row>
    <row r="318" spans="1:16" x14ac:dyDescent="0.25">
      <c r="A318" s="181">
        <v>12260</v>
      </c>
      <c r="B318" s="181" t="s">
        <v>870</v>
      </c>
      <c r="C318">
        <v>12260</v>
      </c>
      <c r="D318" t="s">
        <v>870</v>
      </c>
      <c r="E318" t="s">
        <v>870</v>
      </c>
      <c r="F318" t="s">
        <v>1047</v>
      </c>
      <c r="G318" t="s">
        <v>1047</v>
      </c>
      <c r="H318">
        <v>1</v>
      </c>
      <c r="I318">
        <v>1</v>
      </c>
      <c r="J318" t="s">
        <v>1371</v>
      </c>
      <c r="O318" t="s">
        <v>29</v>
      </c>
      <c r="P318">
        <v>1.1599999999999999</v>
      </c>
    </row>
    <row r="319" spans="1:16" x14ac:dyDescent="0.25">
      <c r="A319" s="181">
        <v>12280</v>
      </c>
      <c r="B319" s="181" t="s">
        <v>869</v>
      </c>
      <c r="C319">
        <v>12280</v>
      </c>
      <c r="D319" t="s">
        <v>869</v>
      </c>
      <c r="E319" t="s">
        <v>869</v>
      </c>
      <c r="F319" t="s">
        <v>1047</v>
      </c>
      <c r="G319" t="s">
        <v>1047</v>
      </c>
      <c r="H319">
        <v>1</v>
      </c>
      <c r="I319">
        <v>1</v>
      </c>
      <c r="J319" t="s">
        <v>1371</v>
      </c>
      <c r="O319" t="s">
        <v>29</v>
      </c>
      <c r="P319">
        <v>1.3</v>
      </c>
    </row>
    <row r="320" spans="1:16" x14ac:dyDescent="0.25">
      <c r="A320" s="181">
        <v>12290</v>
      </c>
      <c r="B320" s="181" t="s">
        <v>871</v>
      </c>
      <c r="C320">
        <v>12290</v>
      </c>
      <c r="D320" t="s">
        <v>871</v>
      </c>
      <c r="E320" t="s">
        <v>871</v>
      </c>
      <c r="F320" t="s">
        <v>1047</v>
      </c>
      <c r="G320" t="s">
        <v>1047</v>
      </c>
      <c r="H320">
        <v>1</v>
      </c>
      <c r="I320">
        <v>1</v>
      </c>
      <c r="J320" t="s">
        <v>1371</v>
      </c>
      <c r="O320" t="s">
        <v>29</v>
      </c>
      <c r="P320">
        <v>1.56</v>
      </c>
    </row>
    <row r="321" spans="1:16" x14ac:dyDescent="0.25">
      <c r="A321" s="181">
        <v>12300</v>
      </c>
      <c r="B321" s="181" t="s">
        <v>611</v>
      </c>
      <c r="C321">
        <v>12300</v>
      </c>
      <c r="D321" t="s">
        <v>611</v>
      </c>
      <c r="E321" t="s">
        <v>611</v>
      </c>
      <c r="F321" t="s">
        <v>1047</v>
      </c>
      <c r="G321" t="s">
        <v>1047</v>
      </c>
      <c r="H321">
        <v>1</v>
      </c>
      <c r="I321">
        <v>1</v>
      </c>
      <c r="J321" t="s">
        <v>1371</v>
      </c>
      <c r="O321" t="s">
        <v>29</v>
      </c>
      <c r="P321">
        <v>1.75</v>
      </c>
    </row>
    <row r="322" spans="1:16" x14ac:dyDescent="0.25">
      <c r="A322" s="181">
        <v>12310</v>
      </c>
      <c r="B322" s="181" t="s">
        <v>872</v>
      </c>
      <c r="C322">
        <v>12310</v>
      </c>
      <c r="D322" t="s">
        <v>872</v>
      </c>
      <c r="E322" t="s">
        <v>872</v>
      </c>
      <c r="F322" t="s">
        <v>1047</v>
      </c>
      <c r="G322" t="s">
        <v>1047</v>
      </c>
      <c r="H322">
        <v>1</v>
      </c>
      <c r="I322">
        <v>1</v>
      </c>
      <c r="J322" t="s">
        <v>1371</v>
      </c>
      <c r="O322" t="s">
        <v>29</v>
      </c>
      <c r="P322">
        <v>2.1800000000000002</v>
      </c>
    </row>
    <row r="323" spans="1:16" x14ac:dyDescent="0.25">
      <c r="A323" s="181">
        <v>12320</v>
      </c>
      <c r="B323" s="181" t="s">
        <v>612</v>
      </c>
      <c r="C323">
        <v>12320</v>
      </c>
      <c r="D323" t="s">
        <v>612</v>
      </c>
      <c r="E323" t="s">
        <v>612</v>
      </c>
      <c r="F323" t="s">
        <v>1047</v>
      </c>
      <c r="G323" t="s">
        <v>1047</v>
      </c>
      <c r="H323">
        <v>1</v>
      </c>
      <c r="I323">
        <v>1</v>
      </c>
      <c r="J323" t="s">
        <v>1371</v>
      </c>
      <c r="O323" t="s">
        <v>29</v>
      </c>
      <c r="P323">
        <v>2.19</v>
      </c>
    </row>
    <row r="324" spans="1:16" x14ac:dyDescent="0.25">
      <c r="A324" s="181">
        <v>12330</v>
      </c>
      <c r="B324" s="181" t="s">
        <v>873</v>
      </c>
      <c r="C324">
        <v>12330</v>
      </c>
      <c r="D324" t="s">
        <v>873</v>
      </c>
      <c r="E324" t="s">
        <v>873</v>
      </c>
      <c r="F324" t="s">
        <v>1047</v>
      </c>
      <c r="G324" t="s">
        <v>1047</v>
      </c>
      <c r="H324">
        <v>1</v>
      </c>
      <c r="I324">
        <v>1</v>
      </c>
      <c r="J324" t="s">
        <v>1371</v>
      </c>
      <c r="O324" t="s">
        <v>29</v>
      </c>
      <c r="P324">
        <v>2.89</v>
      </c>
    </row>
    <row r="325" spans="1:16" x14ac:dyDescent="0.25">
      <c r="A325" s="181">
        <v>12340</v>
      </c>
      <c r="B325" s="181" t="s">
        <v>874</v>
      </c>
      <c r="C325">
        <v>12340</v>
      </c>
      <c r="D325" t="s">
        <v>874</v>
      </c>
      <c r="E325" t="s">
        <v>874</v>
      </c>
      <c r="F325" t="s">
        <v>1047</v>
      </c>
      <c r="G325" t="s">
        <v>1047</v>
      </c>
      <c r="H325">
        <v>1</v>
      </c>
      <c r="I325">
        <v>1</v>
      </c>
      <c r="J325" t="s">
        <v>1371</v>
      </c>
      <c r="O325" t="s">
        <v>29</v>
      </c>
      <c r="P325">
        <v>3.57</v>
      </c>
    </row>
    <row r="326" spans="1:16" x14ac:dyDescent="0.25">
      <c r="A326" s="181">
        <v>12350</v>
      </c>
      <c r="B326" s="181" t="s">
        <v>875</v>
      </c>
      <c r="C326">
        <v>12350</v>
      </c>
      <c r="D326" t="s">
        <v>875</v>
      </c>
      <c r="E326" t="s">
        <v>875</v>
      </c>
      <c r="F326" t="s">
        <v>1047</v>
      </c>
      <c r="G326" t="s">
        <v>1047</v>
      </c>
      <c r="H326">
        <v>1</v>
      </c>
      <c r="I326">
        <v>1</v>
      </c>
      <c r="J326" t="s">
        <v>1371</v>
      </c>
      <c r="O326" t="s">
        <v>29</v>
      </c>
      <c r="P326">
        <v>6.2</v>
      </c>
    </row>
    <row r="327" spans="1:16" x14ac:dyDescent="0.25">
      <c r="A327" s="181">
        <v>12360</v>
      </c>
      <c r="B327" s="181" t="s">
        <v>876</v>
      </c>
    </row>
    <row r="328" spans="1:16" x14ac:dyDescent="0.25">
      <c r="A328" s="181">
        <v>12370</v>
      </c>
      <c r="B328" s="181" t="s">
        <v>877</v>
      </c>
    </row>
    <row r="329" spans="1:16" x14ac:dyDescent="0.25">
      <c r="A329" s="181">
        <v>12380</v>
      </c>
      <c r="B329" s="181" t="s">
        <v>613</v>
      </c>
      <c r="C329">
        <v>12380</v>
      </c>
      <c r="D329" t="s">
        <v>613</v>
      </c>
      <c r="E329" t="s">
        <v>613</v>
      </c>
      <c r="F329" t="s">
        <v>1047</v>
      </c>
      <c r="G329" t="s">
        <v>1047</v>
      </c>
      <c r="H329">
        <v>1</v>
      </c>
      <c r="I329">
        <v>1</v>
      </c>
      <c r="J329" t="s">
        <v>1371</v>
      </c>
      <c r="O329" t="s">
        <v>29</v>
      </c>
      <c r="P329">
        <v>1.21</v>
      </c>
    </row>
    <row r="330" spans="1:16" x14ac:dyDescent="0.25">
      <c r="A330" s="181">
        <v>12400</v>
      </c>
      <c r="B330" s="181" t="s">
        <v>614</v>
      </c>
      <c r="C330">
        <v>12400</v>
      </c>
      <c r="D330" t="s">
        <v>614</v>
      </c>
      <c r="E330" t="s">
        <v>614</v>
      </c>
      <c r="F330" t="s">
        <v>1047</v>
      </c>
      <c r="G330" t="s">
        <v>1047</v>
      </c>
      <c r="H330">
        <v>1</v>
      </c>
      <c r="I330">
        <v>1</v>
      </c>
      <c r="J330" t="s">
        <v>1371</v>
      </c>
      <c r="O330" t="s">
        <v>29</v>
      </c>
      <c r="P330">
        <v>1.42</v>
      </c>
    </row>
    <row r="331" spans="1:16" x14ac:dyDescent="0.25">
      <c r="A331" s="181">
        <v>12410</v>
      </c>
      <c r="B331" s="181" t="s">
        <v>615</v>
      </c>
      <c r="C331">
        <v>12410</v>
      </c>
      <c r="D331" t="s">
        <v>615</v>
      </c>
      <c r="E331" t="s">
        <v>615</v>
      </c>
      <c r="F331" t="s">
        <v>1047</v>
      </c>
      <c r="G331" t="s">
        <v>1047</v>
      </c>
      <c r="H331">
        <v>1</v>
      </c>
      <c r="I331">
        <v>1</v>
      </c>
      <c r="J331" t="s">
        <v>1371</v>
      </c>
      <c r="O331" t="s">
        <v>29</v>
      </c>
      <c r="P331">
        <v>1.68</v>
      </c>
    </row>
    <row r="332" spans="1:16" x14ac:dyDescent="0.25">
      <c r="A332" s="181">
        <v>12420</v>
      </c>
      <c r="B332" s="181" t="s">
        <v>616</v>
      </c>
      <c r="C332">
        <v>12420</v>
      </c>
      <c r="D332" t="s">
        <v>616</v>
      </c>
      <c r="E332" t="s">
        <v>616</v>
      </c>
      <c r="F332" t="s">
        <v>1047</v>
      </c>
      <c r="G332" t="s">
        <v>1047</v>
      </c>
      <c r="H332">
        <v>1</v>
      </c>
      <c r="I332">
        <v>1</v>
      </c>
      <c r="J332" t="s">
        <v>1371</v>
      </c>
      <c r="O332" t="s">
        <v>29</v>
      </c>
      <c r="P332">
        <v>1.95</v>
      </c>
    </row>
    <row r="333" spans="1:16" x14ac:dyDescent="0.25">
      <c r="A333" s="181">
        <v>12430</v>
      </c>
      <c r="B333" s="181" t="s">
        <v>617</v>
      </c>
      <c r="C333">
        <v>12430</v>
      </c>
      <c r="D333" t="s">
        <v>617</v>
      </c>
      <c r="E333" t="s">
        <v>617</v>
      </c>
      <c r="F333" t="s">
        <v>1047</v>
      </c>
      <c r="G333" t="s">
        <v>1047</v>
      </c>
      <c r="H333">
        <v>1</v>
      </c>
      <c r="I333">
        <v>1</v>
      </c>
      <c r="J333" t="s">
        <v>1371</v>
      </c>
      <c r="O333" t="s">
        <v>29</v>
      </c>
      <c r="P333">
        <v>2.12</v>
      </c>
    </row>
    <row r="334" spans="1:16" x14ac:dyDescent="0.25">
      <c r="A334" s="181">
        <v>12440</v>
      </c>
      <c r="B334" s="181" t="s">
        <v>618</v>
      </c>
      <c r="C334">
        <v>12440</v>
      </c>
      <c r="D334" t="s">
        <v>618</v>
      </c>
      <c r="E334" t="s">
        <v>618</v>
      </c>
      <c r="F334" t="s">
        <v>1047</v>
      </c>
      <c r="G334" t="s">
        <v>1047</v>
      </c>
      <c r="H334">
        <v>1</v>
      </c>
      <c r="I334">
        <v>1</v>
      </c>
      <c r="J334" t="s">
        <v>1371</v>
      </c>
      <c r="O334" t="s">
        <v>29</v>
      </c>
      <c r="P334">
        <v>2.4300000000000002</v>
      </c>
    </row>
    <row r="335" spans="1:16" x14ac:dyDescent="0.25">
      <c r="A335" s="181">
        <v>12450</v>
      </c>
      <c r="B335" s="181" t="s">
        <v>619</v>
      </c>
      <c r="C335">
        <v>12450</v>
      </c>
      <c r="D335" t="s">
        <v>619</v>
      </c>
      <c r="E335" t="s">
        <v>619</v>
      </c>
      <c r="F335" t="s">
        <v>1047</v>
      </c>
      <c r="G335" t="s">
        <v>1047</v>
      </c>
      <c r="H335">
        <v>1</v>
      </c>
      <c r="I335">
        <v>1</v>
      </c>
      <c r="J335" t="s">
        <v>1371</v>
      </c>
      <c r="O335" t="s">
        <v>29</v>
      </c>
      <c r="P335">
        <v>2.8</v>
      </c>
    </row>
    <row r="336" spans="1:16" x14ac:dyDescent="0.25">
      <c r="A336" s="181">
        <v>12460</v>
      </c>
      <c r="B336" s="181" t="s">
        <v>620</v>
      </c>
      <c r="C336">
        <v>12460</v>
      </c>
      <c r="D336" t="s">
        <v>620</v>
      </c>
      <c r="E336" t="s">
        <v>620</v>
      </c>
      <c r="F336" t="s">
        <v>1047</v>
      </c>
      <c r="G336" t="s">
        <v>1047</v>
      </c>
      <c r="H336">
        <v>1</v>
      </c>
      <c r="I336">
        <v>1</v>
      </c>
      <c r="J336" t="s">
        <v>1371</v>
      </c>
      <c r="O336" t="s">
        <v>29</v>
      </c>
      <c r="P336">
        <v>3.61</v>
      </c>
    </row>
    <row r="337" spans="1:16" x14ac:dyDescent="0.25">
      <c r="A337" s="181">
        <v>12470</v>
      </c>
      <c r="B337" s="181" t="s">
        <v>621</v>
      </c>
      <c r="C337">
        <v>12470</v>
      </c>
      <c r="D337" t="s">
        <v>621</v>
      </c>
      <c r="E337" t="s">
        <v>621</v>
      </c>
      <c r="F337" t="s">
        <v>1047</v>
      </c>
      <c r="G337" t="s">
        <v>1047</v>
      </c>
      <c r="H337">
        <v>1</v>
      </c>
      <c r="I337">
        <v>1</v>
      </c>
      <c r="J337" t="s">
        <v>1371</v>
      </c>
      <c r="O337" t="s">
        <v>29</v>
      </c>
      <c r="P337">
        <v>3.99</v>
      </c>
    </row>
    <row r="338" spans="1:16" x14ac:dyDescent="0.25">
      <c r="A338" s="181">
        <v>12480</v>
      </c>
      <c r="B338" s="181" t="s">
        <v>878</v>
      </c>
      <c r="C338">
        <v>12480</v>
      </c>
      <c r="D338" t="s">
        <v>1418</v>
      </c>
      <c r="E338" t="s">
        <v>1418</v>
      </c>
      <c r="F338" t="s">
        <v>1047</v>
      </c>
      <c r="G338" t="s">
        <v>1047</v>
      </c>
      <c r="H338">
        <v>1</v>
      </c>
      <c r="I338">
        <v>1</v>
      </c>
      <c r="J338" t="s">
        <v>1371</v>
      </c>
      <c r="O338" t="s">
        <v>29</v>
      </c>
      <c r="P338">
        <v>21.2</v>
      </c>
    </row>
    <row r="339" spans="1:16" x14ac:dyDescent="0.25">
      <c r="A339" s="181">
        <v>12490</v>
      </c>
      <c r="B339" s="181" t="s">
        <v>879</v>
      </c>
      <c r="C339">
        <v>12490</v>
      </c>
      <c r="D339" t="s">
        <v>1425</v>
      </c>
      <c r="E339" t="s">
        <v>1425</v>
      </c>
      <c r="F339" t="s">
        <v>1047</v>
      </c>
      <c r="G339" t="s">
        <v>1047</v>
      </c>
      <c r="H339">
        <v>1</v>
      </c>
      <c r="I339">
        <v>1</v>
      </c>
      <c r="J339" t="s">
        <v>1371</v>
      </c>
      <c r="O339" t="s">
        <v>29</v>
      </c>
      <c r="P339">
        <v>0</v>
      </c>
    </row>
    <row r="340" spans="1:16" x14ac:dyDescent="0.25">
      <c r="A340" s="181">
        <v>12500</v>
      </c>
      <c r="B340" s="181" t="s">
        <v>1744</v>
      </c>
    </row>
    <row r="341" spans="1:16" x14ac:dyDescent="0.25">
      <c r="A341" s="181">
        <v>12510</v>
      </c>
      <c r="B341" s="181" t="s">
        <v>1743</v>
      </c>
    </row>
    <row r="342" spans="1:16" x14ac:dyDescent="0.25">
      <c r="A342" s="181">
        <v>12520</v>
      </c>
      <c r="B342" s="181" t="s">
        <v>882</v>
      </c>
    </row>
    <row r="343" spans="1:16" x14ac:dyDescent="0.25">
      <c r="A343" s="181">
        <v>12530</v>
      </c>
      <c r="B343" s="181" t="s">
        <v>883</v>
      </c>
    </row>
    <row r="344" spans="1:16" x14ac:dyDescent="0.25">
      <c r="A344" s="181">
        <v>12540</v>
      </c>
      <c r="B344" s="181" t="s">
        <v>884</v>
      </c>
    </row>
    <row r="345" spans="1:16" x14ac:dyDescent="0.25">
      <c r="A345" s="181">
        <v>12550</v>
      </c>
      <c r="B345" s="181" t="s">
        <v>885</v>
      </c>
    </row>
    <row r="346" spans="1:16" x14ac:dyDescent="0.25">
      <c r="B346" t="s">
        <v>1453</v>
      </c>
      <c r="C346" t="s">
        <v>1454</v>
      </c>
      <c r="D346" t="s">
        <v>1453</v>
      </c>
      <c r="E346" t="s">
        <v>1453</v>
      </c>
      <c r="F346" t="s">
        <v>1047</v>
      </c>
      <c r="G346" t="s">
        <v>1047</v>
      </c>
      <c r="H346">
        <v>1</v>
      </c>
      <c r="I346">
        <v>1</v>
      </c>
      <c r="J346" t="s">
        <v>1371</v>
      </c>
      <c r="O346" t="s">
        <v>29</v>
      </c>
      <c r="P346">
        <v>0</v>
      </c>
    </row>
    <row r="347" spans="1:16" x14ac:dyDescent="0.25">
      <c r="B347" t="s">
        <v>1465</v>
      </c>
      <c r="C347" t="s">
        <v>1466</v>
      </c>
      <c r="D347" t="s">
        <v>1465</v>
      </c>
      <c r="E347" t="s">
        <v>1465</v>
      </c>
      <c r="F347" t="s">
        <v>1047</v>
      </c>
      <c r="G347" t="s">
        <v>1047</v>
      </c>
      <c r="H347">
        <v>1</v>
      </c>
      <c r="I347">
        <v>1</v>
      </c>
      <c r="J347" t="s">
        <v>1371</v>
      </c>
      <c r="O347" t="s">
        <v>29</v>
      </c>
      <c r="P347">
        <v>0</v>
      </c>
    </row>
    <row r="348" spans="1:16" x14ac:dyDescent="0.25">
      <c r="B348" t="s">
        <v>1748</v>
      </c>
      <c r="C348" t="s">
        <v>1381</v>
      </c>
      <c r="D348" t="s">
        <v>1748</v>
      </c>
      <c r="E348" t="s">
        <v>1748</v>
      </c>
      <c r="F348" t="s">
        <v>1047</v>
      </c>
      <c r="G348" t="s">
        <v>1047</v>
      </c>
      <c r="H348">
        <v>1</v>
      </c>
      <c r="I348">
        <v>1</v>
      </c>
      <c r="J348" t="s">
        <v>1371</v>
      </c>
      <c r="O348" t="s">
        <v>29</v>
      </c>
      <c r="P348">
        <v>0</v>
      </c>
    </row>
    <row r="349" spans="1:16" x14ac:dyDescent="0.25">
      <c r="B349" t="s">
        <v>1749</v>
      </c>
      <c r="C349" t="s">
        <v>1381</v>
      </c>
      <c r="D349" t="s">
        <v>1749</v>
      </c>
      <c r="E349" t="s">
        <v>1749</v>
      </c>
      <c r="F349" t="s">
        <v>1047</v>
      </c>
      <c r="G349" t="s">
        <v>1047</v>
      </c>
      <c r="H349">
        <v>1</v>
      </c>
      <c r="I349">
        <v>1</v>
      </c>
      <c r="J349" t="s">
        <v>1371</v>
      </c>
      <c r="O349" t="s">
        <v>29</v>
      </c>
      <c r="P349">
        <v>0</v>
      </c>
    </row>
    <row r="350" spans="1:16" x14ac:dyDescent="0.25">
      <c r="B350" t="s">
        <v>1380</v>
      </c>
      <c r="C350" t="s">
        <v>1381</v>
      </c>
      <c r="D350" t="s">
        <v>1380</v>
      </c>
      <c r="E350" t="s">
        <v>1380</v>
      </c>
      <c r="F350" t="s">
        <v>1047</v>
      </c>
      <c r="G350" t="s">
        <v>1047</v>
      </c>
      <c r="H350">
        <v>1</v>
      </c>
      <c r="I350">
        <v>1</v>
      </c>
      <c r="J350" t="s">
        <v>1371</v>
      </c>
      <c r="O350" t="s">
        <v>29</v>
      </c>
      <c r="P350">
        <v>0</v>
      </c>
    </row>
    <row r="351" spans="1:16" x14ac:dyDescent="0.25">
      <c r="B351" t="s">
        <v>1392</v>
      </c>
      <c r="C351" t="s">
        <v>1393</v>
      </c>
      <c r="D351" t="s">
        <v>1392</v>
      </c>
      <c r="E351" t="s">
        <v>1392</v>
      </c>
      <c r="F351" t="s">
        <v>1047</v>
      </c>
      <c r="G351" t="s">
        <v>1047</v>
      </c>
      <c r="H351">
        <v>1</v>
      </c>
      <c r="I351">
        <v>1</v>
      </c>
      <c r="J351" t="s">
        <v>1371</v>
      </c>
      <c r="O351" t="s">
        <v>29</v>
      </c>
      <c r="P351">
        <v>0</v>
      </c>
    </row>
    <row r="352" spans="1:16" x14ac:dyDescent="0.25">
      <c r="A352" s="181">
        <v>12560</v>
      </c>
      <c r="B352" s="181" t="s">
        <v>340</v>
      </c>
      <c r="C352">
        <v>12560</v>
      </c>
      <c r="D352" t="s">
        <v>340</v>
      </c>
      <c r="E352" t="s">
        <v>340</v>
      </c>
      <c r="F352" t="s">
        <v>1047</v>
      </c>
      <c r="G352" t="s">
        <v>1047</v>
      </c>
      <c r="H352">
        <v>1</v>
      </c>
      <c r="I352">
        <v>1</v>
      </c>
      <c r="J352" t="s">
        <v>1371</v>
      </c>
      <c r="O352" t="s">
        <v>29</v>
      </c>
      <c r="P352">
        <v>10</v>
      </c>
    </row>
    <row r="353" spans="1:16" x14ac:dyDescent="0.25">
      <c r="A353" s="181">
        <v>12570</v>
      </c>
      <c r="B353" s="181" t="s">
        <v>341</v>
      </c>
      <c r="C353">
        <v>12570</v>
      </c>
      <c r="D353" t="s">
        <v>341</v>
      </c>
      <c r="E353" t="s">
        <v>341</v>
      </c>
      <c r="F353" t="s">
        <v>1047</v>
      </c>
      <c r="G353" t="s">
        <v>1047</v>
      </c>
      <c r="H353">
        <v>1</v>
      </c>
      <c r="I353">
        <v>1</v>
      </c>
      <c r="J353" t="s">
        <v>1371</v>
      </c>
      <c r="O353" t="s">
        <v>29</v>
      </c>
      <c r="P353">
        <v>9.8800000000000008</v>
      </c>
    </row>
    <row r="354" spans="1:16" x14ac:dyDescent="0.25">
      <c r="A354" s="181">
        <v>12575</v>
      </c>
      <c r="B354" s="181" t="s">
        <v>622</v>
      </c>
      <c r="C354">
        <v>12575</v>
      </c>
      <c r="D354" t="s">
        <v>622</v>
      </c>
      <c r="E354" t="s">
        <v>622</v>
      </c>
      <c r="F354" t="s">
        <v>1047</v>
      </c>
      <c r="G354" t="s">
        <v>1047</v>
      </c>
      <c r="H354">
        <v>1</v>
      </c>
      <c r="I354">
        <v>1</v>
      </c>
      <c r="J354" t="s">
        <v>1371</v>
      </c>
      <c r="O354" t="s">
        <v>29</v>
      </c>
      <c r="P354">
        <v>12.16</v>
      </c>
    </row>
    <row r="355" spans="1:16" x14ac:dyDescent="0.25">
      <c r="A355" s="181">
        <v>12580</v>
      </c>
      <c r="B355" s="181" t="s">
        <v>342</v>
      </c>
      <c r="C355">
        <v>12580</v>
      </c>
      <c r="D355" t="s">
        <v>342</v>
      </c>
      <c r="E355" t="s">
        <v>342</v>
      </c>
      <c r="F355" t="s">
        <v>1047</v>
      </c>
      <c r="G355" t="s">
        <v>1047</v>
      </c>
      <c r="H355">
        <v>1</v>
      </c>
      <c r="I355">
        <v>1</v>
      </c>
      <c r="J355" t="s">
        <v>1371</v>
      </c>
      <c r="O355" t="s">
        <v>29</v>
      </c>
      <c r="P355">
        <v>10.7</v>
      </c>
    </row>
    <row r="356" spans="1:16" x14ac:dyDescent="0.25">
      <c r="A356" s="181">
        <v>12590</v>
      </c>
      <c r="B356" s="181" t="s">
        <v>343</v>
      </c>
      <c r="C356">
        <v>12590</v>
      </c>
      <c r="D356" t="s">
        <v>343</v>
      </c>
      <c r="E356" t="s">
        <v>343</v>
      </c>
      <c r="F356" t="s">
        <v>1047</v>
      </c>
      <c r="G356" t="s">
        <v>1047</v>
      </c>
      <c r="H356">
        <v>1</v>
      </c>
      <c r="I356">
        <v>1</v>
      </c>
      <c r="J356" t="s">
        <v>1371</v>
      </c>
      <c r="O356" t="s">
        <v>29</v>
      </c>
      <c r="P356">
        <v>11.26</v>
      </c>
    </row>
    <row r="357" spans="1:16" x14ac:dyDescent="0.25">
      <c r="A357" s="181">
        <v>12600</v>
      </c>
      <c r="B357" s="181" t="s">
        <v>344</v>
      </c>
      <c r="C357">
        <v>12600</v>
      </c>
      <c r="D357" t="s">
        <v>344</v>
      </c>
      <c r="E357" t="s">
        <v>344</v>
      </c>
      <c r="F357" t="s">
        <v>1047</v>
      </c>
      <c r="G357" t="s">
        <v>1047</v>
      </c>
      <c r="H357">
        <v>1</v>
      </c>
      <c r="I357">
        <v>1</v>
      </c>
      <c r="J357" t="s">
        <v>1371</v>
      </c>
      <c r="O357" t="s">
        <v>29</v>
      </c>
      <c r="P357">
        <v>16.47</v>
      </c>
    </row>
    <row r="358" spans="1:16" x14ac:dyDescent="0.25">
      <c r="A358" s="181">
        <v>12610</v>
      </c>
      <c r="B358" s="181" t="s">
        <v>345</v>
      </c>
      <c r="C358">
        <v>12610</v>
      </c>
      <c r="D358" t="s">
        <v>345</v>
      </c>
      <c r="E358" t="s">
        <v>345</v>
      </c>
      <c r="F358" t="s">
        <v>1047</v>
      </c>
      <c r="G358" t="s">
        <v>1047</v>
      </c>
      <c r="H358">
        <v>1</v>
      </c>
      <c r="I358">
        <v>1</v>
      </c>
      <c r="J358" t="s">
        <v>1371</v>
      </c>
      <c r="O358" t="s">
        <v>29</v>
      </c>
      <c r="P358">
        <v>10.07</v>
      </c>
    </row>
    <row r="359" spans="1:16" x14ac:dyDescent="0.25">
      <c r="A359" s="181">
        <v>12612</v>
      </c>
      <c r="B359" s="181" t="s">
        <v>1474</v>
      </c>
      <c r="C359" t="s">
        <v>1475</v>
      </c>
      <c r="D359" t="s">
        <v>1474</v>
      </c>
      <c r="E359" t="s">
        <v>1474</v>
      </c>
      <c r="F359" t="s">
        <v>1047</v>
      </c>
      <c r="G359" t="s">
        <v>1047</v>
      </c>
      <c r="H359">
        <v>1</v>
      </c>
      <c r="I359">
        <v>1</v>
      </c>
      <c r="J359" t="s">
        <v>1371</v>
      </c>
      <c r="O359" t="s">
        <v>29</v>
      </c>
      <c r="P359">
        <v>0</v>
      </c>
    </row>
    <row r="360" spans="1:16" x14ac:dyDescent="0.25">
      <c r="A360" s="181">
        <v>12615</v>
      </c>
      <c r="B360" s="181" t="s">
        <v>623</v>
      </c>
      <c r="C360">
        <v>12615</v>
      </c>
      <c r="D360" t="s">
        <v>623</v>
      </c>
      <c r="E360" t="s">
        <v>623</v>
      </c>
      <c r="F360" t="s">
        <v>1047</v>
      </c>
      <c r="G360" t="s">
        <v>1047</v>
      </c>
      <c r="H360">
        <v>1</v>
      </c>
      <c r="I360">
        <v>1</v>
      </c>
      <c r="J360" t="s">
        <v>1371</v>
      </c>
      <c r="O360" t="s">
        <v>29</v>
      </c>
      <c r="P360">
        <v>14.5</v>
      </c>
    </row>
    <row r="361" spans="1:16" x14ac:dyDescent="0.25">
      <c r="A361" s="181">
        <v>12620</v>
      </c>
      <c r="B361" s="181" t="s">
        <v>346</v>
      </c>
      <c r="C361">
        <v>12620</v>
      </c>
      <c r="D361" t="s">
        <v>346</v>
      </c>
      <c r="E361" t="s">
        <v>346</v>
      </c>
      <c r="F361" t="s">
        <v>1047</v>
      </c>
      <c r="G361" t="s">
        <v>1047</v>
      </c>
      <c r="H361">
        <v>1</v>
      </c>
      <c r="I361">
        <v>1</v>
      </c>
      <c r="J361" t="s">
        <v>1371</v>
      </c>
      <c r="O361" t="s">
        <v>29</v>
      </c>
      <c r="P361">
        <v>13.89</v>
      </c>
    </row>
    <row r="362" spans="1:16" x14ac:dyDescent="0.25">
      <c r="A362" s="181">
        <v>12630</v>
      </c>
      <c r="B362" s="181" t="s">
        <v>624</v>
      </c>
      <c r="C362">
        <v>12630</v>
      </c>
      <c r="D362" t="s">
        <v>624</v>
      </c>
      <c r="E362" t="s">
        <v>624</v>
      </c>
      <c r="F362" t="s">
        <v>1047</v>
      </c>
      <c r="G362" t="s">
        <v>1047</v>
      </c>
      <c r="H362">
        <v>1</v>
      </c>
      <c r="I362">
        <v>1</v>
      </c>
      <c r="J362" t="s">
        <v>1371</v>
      </c>
      <c r="O362" t="s">
        <v>29</v>
      </c>
      <c r="P362">
        <v>16.79</v>
      </c>
    </row>
    <row r="363" spans="1:16" x14ac:dyDescent="0.25">
      <c r="A363" s="181">
        <v>12640</v>
      </c>
      <c r="B363" s="181" t="s">
        <v>347</v>
      </c>
      <c r="C363">
        <v>12640</v>
      </c>
      <c r="D363" t="s">
        <v>347</v>
      </c>
      <c r="E363" t="s">
        <v>347</v>
      </c>
      <c r="F363" t="s">
        <v>1047</v>
      </c>
      <c r="G363" t="s">
        <v>1047</v>
      </c>
      <c r="H363">
        <v>1</v>
      </c>
      <c r="I363">
        <v>1</v>
      </c>
      <c r="J363" t="s">
        <v>1371</v>
      </c>
      <c r="O363" t="s">
        <v>29</v>
      </c>
      <c r="P363">
        <v>13.99</v>
      </c>
    </row>
    <row r="364" spans="1:16" x14ac:dyDescent="0.25">
      <c r="A364" s="181">
        <v>12650</v>
      </c>
      <c r="B364" s="181" t="s">
        <v>886</v>
      </c>
      <c r="C364">
        <v>12650</v>
      </c>
      <c r="D364" t="s">
        <v>1397</v>
      </c>
      <c r="E364" t="s">
        <v>1397</v>
      </c>
      <c r="F364" t="s">
        <v>1047</v>
      </c>
      <c r="G364" t="s">
        <v>1047</v>
      </c>
      <c r="H364">
        <v>1</v>
      </c>
      <c r="I364">
        <v>1</v>
      </c>
      <c r="J364" t="s">
        <v>1371</v>
      </c>
      <c r="O364" t="s">
        <v>29</v>
      </c>
      <c r="P364">
        <v>22.8</v>
      </c>
    </row>
    <row r="365" spans="1:16" x14ac:dyDescent="0.25">
      <c r="A365" s="181">
        <v>12660</v>
      </c>
      <c r="B365" s="181" t="s">
        <v>887</v>
      </c>
    </row>
    <row r="366" spans="1:16" x14ac:dyDescent="0.25">
      <c r="A366" s="181">
        <v>12700</v>
      </c>
      <c r="B366" s="181" t="s">
        <v>625</v>
      </c>
      <c r="C366">
        <v>12700</v>
      </c>
      <c r="D366" t="s">
        <v>625</v>
      </c>
      <c r="E366" t="s">
        <v>625</v>
      </c>
      <c r="F366" t="s">
        <v>1047</v>
      </c>
      <c r="G366" t="s">
        <v>1047</v>
      </c>
      <c r="H366">
        <v>1</v>
      </c>
      <c r="I366">
        <v>1</v>
      </c>
      <c r="J366" t="s">
        <v>1371</v>
      </c>
      <c r="O366" t="s">
        <v>29</v>
      </c>
      <c r="P366">
        <v>2.4</v>
      </c>
    </row>
    <row r="367" spans="1:16" x14ac:dyDescent="0.25">
      <c r="A367" s="181">
        <v>12710</v>
      </c>
      <c r="B367" s="181" t="s">
        <v>626</v>
      </c>
      <c r="C367">
        <v>12710</v>
      </c>
      <c r="D367" t="s">
        <v>626</v>
      </c>
      <c r="E367" t="s">
        <v>626</v>
      </c>
      <c r="F367" t="s">
        <v>1047</v>
      </c>
      <c r="G367" t="s">
        <v>1047</v>
      </c>
      <c r="H367">
        <v>1</v>
      </c>
      <c r="I367">
        <v>1</v>
      </c>
      <c r="J367" t="s">
        <v>1371</v>
      </c>
      <c r="O367" t="s">
        <v>29</v>
      </c>
      <c r="P367">
        <v>2.08</v>
      </c>
    </row>
    <row r="368" spans="1:16" x14ac:dyDescent="0.25">
      <c r="A368" s="181">
        <v>12720</v>
      </c>
      <c r="B368" s="181" t="s">
        <v>627</v>
      </c>
      <c r="C368">
        <v>12720</v>
      </c>
      <c r="D368" t="s">
        <v>627</v>
      </c>
      <c r="E368" t="s">
        <v>627</v>
      </c>
      <c r="F368" t="s">
        <v>1047</v>
      </c>
      <c r="G368" t="s">
        <v>1047</v>
      </c>
      <c r="H368">
        <v>1</v>
      </c>
      <c r="I368">
        <v>1</v>
      </c>
      <c r="J368" t="s">
        <v>1371</v>
      </c>
      <c r="O368" t="s">
        <v>29</v>
      </c>
      <c r="P368">
        <v>3.2</v>
      </c>
    </row>
    <row r="369" spans="1:16" x14ac:dyDescent="0.25">
      <c r="A369" s="181">
        <v>12730</v>
      </c>
      <c r="B369" s="181" t="s">
        <v>628</v>
      </c>
      <c r="C369">
        <v>12730</v>
      </c>
      <c r="D369" t="s">
        <v>628</v>
      </c>
      <c r="E369" t="s">
        <v>628</v>
      </c>
      <c r="F369" t="s">
        <v>1047</v>
      </c>
      <c r="G369" t="s">
        <v>1047</v>
      </c>
      <c r="H369">
        <v>1</v>
      </c>
      <c r="I369">
        <v>1</v>
      </c>
      <c r="J369" t="s">
        <v>1371</v>
      </c>
      <c r="O369" t="s">
        <v>29</v>
      </c>
      <c r="P369">
        <v>3.46</v>
      </c>
    </row>
    <row r="370" spans="1:16" x14ac:dyDescent="0.25">
      <c r="A370" s="181">
        <v>12740</v>
      </c>
      <c r="B370" s="181" t="s">
        <v>629</v>
      </c>
      <c r="C370">
        <v>12740</v>
      </c>
      <c r="D370" t="s">
        <v>629</v>
      </c>
      <c r="E370" t="s">
        <v>629</v>
      </c>
      <c r="F370" t="s">
        <v>1047</v>
      </c>
      <c r="G370" t="s">
        <v>1047</v>
      </c>
      <c r="H370">
        <v>1</v>
      </c>
      <c r="I370">
        <v>1</v>
      </c>
      <c r="J370" t="s">
        <v>1371</v>
      </c>
      <c r="O370" t="s">
        <v>29</v>
      </c>
      <c r="P370">
        <v>5.85</v>
      </c>
    </row>
    <row r="371" spans="1:16" x14ac:dyDescent="0.25">
      <c r="A371" s="181">
        <v>12750</v>
      </c>
      <c r="B371" s="181" t="s">
        <v>630</v>
      </c>
      <c r="C371">
        <v>12750</v>
      </c>
      <c r="D371" t="s">
        <v>630</v>
      </c>
      <c r="E371" t="s">
        <v>630</v>
      </c>
      <c r="F371" t="s">
        <v>1047</v>
      </c>
      <c r="G371" t="s">
        <v>1047</v>
      </c>
      <c r="H371">
        <v>1</v>
      </c>
      <c r="I371">
        <v>1</v>
      </c>
      <c r="J371" t="s">
        <v>1371</v>
      </c>
      <c r="O371" t="s">
        <v>29</v>
      </c>
      <c r="P371">
        <v>6.63</v>
      </c>
    </row>
    <row r="372" spans="1:16" x14ac:dyDescent="0.25">
      <c r="A372" s="181">
        <v>12760</v>
      </c>
      <c r="B372" s="181" t="s">
        <v>631</v>
      </c>
      <c r="C372">
        <v>12760</v>
      </c>
      <c r="D372" t="s">
        <v>631</v>
      </c>
      <c r="E372" t="s">
        <v>631</v>
      </c>
      <c r="F372" t="s">
        <v>1047</v>
      </c>
      <c r="G372" t="s">
        <v>1047</v>
      </c>
      <c r="H372">
        <v>1</v>
      </c>
      <c r="I372">
        <v>1</v>
      </c>
      <c r="J372" t="s">
        <v>1371</v>
      </c>
      <c r="O372" t="s">
        <v>29</v>
      </c>
      <c r="P372">
        <v>7.36</v>
      </c>
    </row>
    <row r="373" spans="1:16" x14ac:dyDescent="0.25">
      <c r="A373" s="181">
        <v>12770</v>
      </c>
      <c r="B373" s="181" t="s">
        <v>632</v>
      </c>
      <c r="C373">
        <v>12770</v>
      </c>
      <c r="D373" t="s">
        <v>632</v>
      </c>
      <c r="E373" t="s">
        <v>632</v>
      </c>
      <c r="F373" t="s">
        <v>1047</v>
      </c>
      <c r="G373" t="s">
        <v>1047</v>
      </c>
      <c r="H373">
        <v>1</v>
      </c>
      <c r="I373">
        <v>1</v>
      </c>
      <c r="J373" t="s">
        <v>1371</v>
      </c>
      <c r="O373" t="s">
        <v>29</v>
      </c>
      <c r="P373">
        <v>10.02</v>
      </c>
    </row>
    <row r="374" spans="1:16" x14ac:dyDescent="0.25">
      <c r="A374" s="181">
        <v>12780</v>
      </c>
      <c r="B374" s="181" t="s">
        <v>633</v>
      </c>
      <c r="C374">
        <v>12780</v>
      </c>
      <c r="D374" t="s">
        <v>633</v>
      </c>
      <c r="E374" t="s">
        <v>633</v>
      </c>
      <c r="F374" t="s">
        <v>1047</v>
      </c>
      <c r="G374" t="s">
        <v>1047</v>
      </c>
      <c r="H374">
        <v>1</v>
      </c>
      <c r="I374">
        <v>1</v>
      </c>
      <c r="J374" t="s">
        <v>1371</v>
      </c>
      <c r="O374" t="s">
        <v>29</v>
      </c>
      <c r="P374">
        <v>14.2</v>
      </c>
    </row>
    <row r="375" spans="1:16" x14ac:dyDescent="0.25">
      <c r="A375" s="181">
        <v>12790</v>
      </c>
      <c r="B375" s="181" t="s">
        <v>348</v>
      </c>
    </row>
    <row r="376" spans="1:16" x14ac:dyDescent="0.25">
      <c r="A376" s="181">
        <v>12800</v>
      </c>
      <c r="B376" s="181" t="s">
        <v>349</v>
      </c>
    </row>
    <row r="377" spans="1:16" x14ac:dyDescent="0.25">
      <c r="A377" s="181">
        <v>12810</v>
      </c>
      <c r="B377" s="181" t="s">
        <v>350</v>
      </c>
      <c r="C377">
        <v>12810</v>
      </c>
      <c r="D377" t="s">
        <v>350</v>
      </c>
      <c r="E377" t="s">
        <v>350</v>
      </c>
      <c r="F377" t="s">
        <v>1047</v>
      </c>
      <c r="G377" t="s">
        <v>1047</v>
      </c>
      <c r="H377">
        <v>1</v>
      </c>
      <c r="I377">
        <v>1</v>
      </c>
      <c r="J377" t="s">
        <v>1371</v>
      </c>
      <c r="O377" t="s">
        <v>29</v>
      </c>
      <c r="P377">
        <v>1.6</v>
      </c>
    </row>
    <row r="378" spans="1:16" x14ac:dyDescent="0.25">
      <c r="A378" s="181">
        <v>12830</v>
      </c>
      <c r="B378" s="181" t="s">
        <v>351</v>
      </c>
      <c r="C378">
        <v>12830</v>
      </c>
      <c r="D378" t="s">
        <v>351</v>
      </c>
      <c r="E378" t="s">
        <v>351</v>
      </c>
      <c r="F378" t="s">
        <v>1047</v>
      </c>
      <c r="G378" t="s">
        <v>1047</v>
      </c>
      <c r="H378">
        <v>1</v>
      </c>
      <c r="I378">
        <v>1</v>
      </c>
      <c r="J378" t="s">
        <v>1371</v>
      </c>
      <c r="O378" t="s">
        <v>29</v>
      </c>
      <c r="P378">
        <v>1.18</v>
      </c>
    </row>
    <row r="379" spans="1:16" x14ac:dyDescent="0.25">
      <c r="A379" s="181">
        <v>12840</v>
      </c>
      <c r="B379" s="181" t="s">
        <v>352</v>
      </c>
      <c r="C379">
        <v>12840</v>
      </c>
      <c r="D379" t="s">
        <v>352</v>
      </c>
      <c r="E379" t="s">
        <v>352</v>
      </c>
      <c r="F379" t="s">
        <v>1047</v>
      </c>
      <c r="G379" t="s">
        <v>1047</v>
      </c>
      <c r="H379">
        <v>1</v>
      </c>
      <c r="I379">
        <v>1</v>
      </c>
      <c r="J379" t="s">
        <v>1371</v>
      </c>
      <c r="O379" t="s">
        <v>29</v>
      </c>
      <c r="P379">
        <v>2.48</v>
      </c>
    </row>
    <row r="380" spans="1:16" x14ac:dyDescent="0.25">
      <c r="A380" s="181">
        <v>12850</v>
      </c>
      <c r="B380" s="181" t="s">
        <v>353</v>
      </c>
      <c r="C380">
        <v>12850</v>
      </c>
      <c r="D380" t="s">
        <v>353</v>
      </c>
      <c r="E380" t="s">
        <v>353</v>
      </c>
      <c r="F380" t="s">
        <v>1047</v>
      </c>
      <c r="G380" t="s">
        <v>1047</v>
      </c>
      <c r="H380">
        <v>1</v>
      </c>
      <c r="I380">
        <v>1</v>
      </c>
      <c r="J380" t="s">
        <v>1371</v>
      </c>
      <c r="O380" t="s">
        <v>29</v>
      </c>
      <c r="P380">
        <v>1.58</v>
      </c>
    </row>
    <row r="381" spans="1:16" x14ac:dyDescent="0.25">
      <c r="A381" s="181">
        <v>12860</v>
      </c>
      <c r="B381" s="181" t="s">
        <v>354</v>
      </c>
      <c r="C381">
        <v>12860</v>
      </c>
      <c r="D381" t="s">
        <v>354</v>
      </c>
      <c r="E381" t="s">
        <v>354</v>
      </c>
      <c r="F381" t="s">
        <v>1047</v>
      </c>
      <c r="G381" t="s">
        <v>1047</v>
      </c>
      <c r="H381">
        <v>1</v>
      </c>
      <c r="I381">
        <v>1</v>
      </c>
      <c r="J381" t="s">
        <v>1371</v>
      </c>
      <c r="O381" t="s">
        <v>29</v>
      </c>
      <c r="P381">
        <v>1.64</v>
      </c>
    </row>
    <row r="382" spans="1:16" x14ac:dyDescent="0.25">
      <c r="A382" s="181">
        <v>12870</v>
      </c>
      <c r="B382" s="181" t="s">
        <v>355</v>
      </c>
      <c r="C382">
        <v>12870</v>
      </c>
      <c r="D382" t="s">
        <v>355</v>
      </c>
      <c r="E382" t="s">
        <v>355</v>
      </c>
      <c r="F382" t="s">
        <v>1047</v>
      </c>
      <c r="G382" t="s">
        <v>1047</v>
      </c>
      <c r="H382">
        <v>1</v>
      </c>
      <c r="I382">
        <v>1</v>
      </c>
      <c r="J382" t="s">
        <v>1371</v>
      </c>
      <c r="O382" t="s">
        <v>29</v>
      </c>
      <c r="P382">
        <v>3.3</v>
      </c>
    </row>
    <row r="383" spans="1:16" x14ac:dyDescent="0.25">
      <c r="A383" s="181">
        <v>12880</v>
      </c>
      <c r="B383" s="181" t="s">
        <v>356</v>
      </c>
      <c r="C383">
        <v>12880</v>
      </c>
      <c r="D383" t="s">
        <v>356</v>
      </c>
      <c r="E383" t="s">
        <v>356</v>
      </c>
      <c r="F383" t="s">
        <v>1047</v>
      </c>
      <c r="G383" t="s">
        <v>1047</v>
      </c>
      <c r="H383">
        <v>1</v>
      </c>
      <c r="I383">
        <v>1</v>
      </c>
      <c r="J383" t="s">
        <v>1371</v>
      </c>
      <c r="O383" t="s">
        <v>29</v>
      </c>
      <c r="P383">
        <v>3.49</v>
      </c>
    </row>
    <row r="384" spans="1:16" x14ac:dyDescent="0.25">
      <c r="A384" s="181">
        <v>12890</v>
      </c>
      <c r="B384" s="181" t="s">
        <v>357</v>
      </c>
      <c r="C384">
        <v>12890</v>
      </c>
      <c r="D384" t="s">
        <v>357</v>
      </c>
      <c r="E384" t="s">
        <v>357</v>
      </c>
      <c r="F384" t="s">
        <v>1047</v>
      </c>
      <c r="G384" t="s">
        <v>1047</v>
      </c>
      <c r="H384">
        <v>1</v>
      </c>
      <c r="I384">
        <v>1</v>
      </c>
      <c r="J384" t="s">
        <v>1371</v>
      </c>
      <c r="O384" t="s">
        <v>29</v>
      </c>
      <c r="P384">
        <v>5.3</v>
      </c>
    </row>
    <row r="385" spans="1:16" x14ac:dyDescent="0.25">
      <c r="A385" s="181">
        <v>12900</v>
      </c>
      <c r="B385" s="181" t="s">
        <v>358</v>
      </c>
      <c r="C385">
        <v>12900</v>
      </c>
      <c r="D385" t="s">
        <v>358</v>
      </c>
      <c r="E385" t="s">
        <v>358</v>
      </c>
      <c r="F385" t="s">
        <v>1047</v>
      </c>
      <c r="G385" t="s">
        <v>1047</v>
      </c>
      <c r="H385">
        <v>1</v>
      </c>
      <c r="I385">
        <v>1</v>
      </c>
      <c r="J385" t="s">
        <v>1371</v>
      </c>
      <c r="O385" t="s">
        <v>29</v>
      </c>
      <c r="P385">
        <v>8.64</v>
      </c>
    </row>
    <row r="386" spans="1:16" x14ac:dyDescent="0.25">
      <c r="A386" s="181">
        <v>12910</v>
      </c>
      <c r="B386" s="181" t="s">
        <v>359</v>
      </c>
    </row>
    <row r="387" spans="1:16" x14ac:dyDescent="0.25">
      <c r="A387" s="181">
        <v>12920</v>
      </c>
      <c r="B387" s="181" t="s">
        <v>360</v>
      </c>
    </row>
    <row r="388" spans="1:16" x14ac:dyDescent="0.25">
      <c r="A388" s="181">
        <v>12930</v>
      </c>
      <c r="B388" s="181" t="s">
        <v>889</v>
      </c>
    </row>
    <row r="389" spans="1:16" x14ac:dyDescent="0.25">
      <c r="A389" s="181">
        <v>12950</v>
      </c>
      <c r="B389" s="181" t="s">
        <v>890</v>
      </c>
    </row>
    <row r="390" spans="1:16" x14ac:dyDescent="0.25">
      <c r="A390" s="181">
        <v>12960</v>
      </c>
      <c r="B390" s="181" t="s">
        <v>891</v>
      </c>
    </row>
    <row r="391" spans="1:16" x14ac:dyDescent="0.25">
      <c r="A391" s="181">
        <v>12970</v>
      </c>
      <c r="B391" s="181" t="s">
        <v>892</v>
      </c>
    </row>
    <row r="392" spans="1:16" x14ac:dyDescent="0.25">
      <c r="A392" s="181">
        <v>12980</v>
      </c>
      <c r="B392" s="181" t="s">
        <v>893</v>
      </c>
    </row>
    <row r="393" spans="1:16" x14ac:dyDescent="0.25">
      <c r="A393" s="181">
        <v>12990</v>
      </c>
      <c r="B393" s="181" t="s">
        <v>894</v>
      </c>
    </row>
    <row r="394" spans="1:16" x14ac:dyDescent="0.25">
      <c r="A394" s="181">
        <v>13000</v>
      </c>
      <c r="B394" s="181" t="s">
        <v>895</v>
      </c>
    </row>
    <row r="395" spans="1:16" x14ac:dyDescent="0.25">
      <c r="A395" s="181">
        <v>13020</v>
      </c>
      <c r="B395" s="181" t="s">
        <v>896</v>
      </c>
    </row>
    <row r="396" spans="1:16" x14ac:dyDescent="0.25">
      <c r="A396" s="181">
        <v>13030</v>
      </c>
      <c r="B396" s="181" t="s">
        <v>897</v>
      </c>
    </row>
    <row r="397" spans="1:16" x14ac:dyDescent="0.25">
      <c r="A397" s="181">
        <v>13040</v>
      </c>
      <c r="B397" s="181" t="s">
        <v>898</v>
      </c>
    </row>
    <row r="398" spans="1:16" x14ac:dyDescent="0.25">
      <c r="A398" s="181">
        <v>13050</v>
      </c>
      <c r="B398" s="181" t="s">
        <v>900</v>
      </c>
      <c r="C398">
        <v>13050</v>
      </c>
      <c r="D398" t="s">
        <v>1458</v>
      </c>
      <c r="E398" t="s">
        <v>1458</v>
      </c>
      <c r="F398" t="s">
        <v>1047</v>
      </c>
      <c r="G398" t="s">
        <v>1047</v>
      </c>
      <c r="H398">
        <v>1</v>
      </c>
      <c r="I398">
        <v>1</v>
      </c>
      <c r="J398" t="s">
        <v>1371</v>
      </c>
      <c r="O398" t="s">
        <v>29</v>
      </c>
      <c r="P398">
        <v>4.28</v>
      </c>
    </row>
    <row r="399" spans="1:16" x14ac:dyDescent="0.25">
      <c r="A399" s="181">
        <v>13070</v>
      </c>
      <c r="B399" s="181" t="s">
        <v>899</v>
      </c>
      <c r="C399">
        <v>13070</v>
      </c>
      <c r="D399" t="s">
        <v>1461</v>
      </c>
      <c r="E399" t="s">
        <v>1461</v>
      </c>
      <c r="F399" t="s">
        <v>1047</v>
      </c>
      <c r="G399" t="s">
        <v>1047</v>
      </c>
      <c r="H399">
        <v>1</v>
      </c>
      <c r="I399">
        <v>1</v>
      </c>
      <c r="J399" t="s">
        <v>1371</v>
      </c>
      <c r="O399" t="s">
        <v>29</v>
      </c>
      <c r="P399">
        <v>5.25</v>
      </c>
    </row>
    <row r="400" spans="1:16" x14ac:dyDescent="0.25">
      <c r="A400" s="181">
        <v>13080</v>
      </c>
      <c r="B400" s="181" t="s">
        <v>901</v>
      </c>
      <c r="C400">
        <v>13080</v>
      </c>
      <c r="D400" t="s">
        <v>901</v>
      </c>
      <c r="E400" t="s">
        <v>901</v>
      </c>
      <c r="F400" t="s">
        <v>1047</v>
      </c>
      <c r="G400" t="s">
        <v>1047</v>
      </c>
      <c r="H400">
        <v>1</v>
      </c>
      <c r="I400">
        <v>1</v>
      </c>
      <c r="J400" t="s">
        <v>1371</v>
      </c>
      <c r="O400" t="s">
        <v>29</v>
      </c>
      <c r="P400">
        <v>4.6100000000000003</v>
      </c>
    </row>
    <row r="401" spans="1:16" x14ac:dyDescent="0.25">
      <c r="A401" s="181">
        <v>13090</v>
      </c>
      <c r="B401" s="181" t="s">
        <v>634</v>
      </c>
      <c r="C401">
        <v>13090</v>
      </c>
      <c r="D401" t="s">
        <v>634</v>
      </c>
      <c r="E401" t="s">
        <v>634</v>
      </c>
      <c r="F401" t="s">
        <v>1047</v>
      </c>
      <c r="G401" t="s">
        <v>1047</v>
      </c>
      <c r="H401">
        <v>1</v>
      </c>
      <c r="I401">
        <v>1</v>
      </c>
      <c r="J401" t="s">
        <v>1371</v>
      </c>
      <c r="O401" t="s">
        <v>29</v>
      </c>
      <c r="P401">
        <v>4.82</v>
      </c>
    </row>
    <row r="402" spans="1:16" x14ac:dyDescent="0.25">
      <c r="A402" s="181">
        <v>13100</v>
      </c>
      <c r="B402" s="181" t="s">
        <v>635</v>
      </c>
      <c r="C402">
        <v>13100</v>
      </c>
      <c r="D402" t="s">
        <v>635</v>
      </c>
      <c r="E402" t="s">
        <v>635</v>
      </c>
      <c r="F402" t="s">
        <v>1047</v>
      </c>
      <c r="G402" t="s">
        <v>1047</v>
      </c>
      <c r="H402">
        <v>1</v>
      </c>
      <c r="I402">
        <v>1</v>
      </c>
      <c r="J402" t="s">
        <v>1371</v>
      </c>
      <c r="O402" t="s">
        <v>29</v>
      </c>
      <c r="P402">
        <v>0</v>
      </c>
    </row>
    <row r="403" spans="1:16" x14ac:dyDescent="0.25">
      <c r="A403" s="181">
        <v>13110</v>
      </c>
      <c r="B403" s="181" t="s">
        <v>636</v>
      </c>
      <c r="C403">
        <v>13110</v>
      </c>
      <c r="D403" t="s">
        <v>636</v>
      </c>
      <c r="E403" t="s">
        <v>636</v>
      </c>
      <c r="F403" t="s">
        <v>1047</v>
      </c>
      <c r="G403" t="s">
        <v>1047</v>
      </c>
      <c r="H403">
        <v>1</v>
      </c>
      <c r="I403">
        <v>1</v>
      </c>
      <c r="J403" t="s">
        <v>1371</v>
      </c>
      <c r="O403" t="s">
        <v>29</v>
      </c>
      <c r="P403">
        <v>5.26</v>
      </c>
    </row>
    <row r="404" spans="1:16" x14ac:dyDescent="0.25">
      <c r="A404" s="181">
        <v>13120</v>
      </c>
      <c r="B404" s="181" t="s">
        <v>637</v>
      </c>
      <c r="C404">
        <v>13120</v>
      </c>
      <c r="D404" t="s">
        <v>637</v>
      </c>
      <c r="E404" t="s">
        <v>637</v>
      </c>
      <c r="F404" t="s">
        <v>1047</v>
      </c>
      <c r="G404" t="s">
        <v>1047</v>
      </c>
      <c r="H404">
        <v>1</v>
      </c>
      <c r="I404">
        <v>1</v>
      </c>
      <c r="J404" t="s">
        <v>1371</v>
      </c>
      <c r="O404" t="s">
        <v>29</v>
      </c>
      <c r="P404">
        <v>0</v>
      </c>
    </row>
    <row r="405" spans="1:16" x14ac:dyDescent="0.25">
      <c r="A405" s="181">
        <v>13130</v>
      </c>
      <c r="B405" s="181" t="s">
        <v>902</v>
      </c>
      <c r="C405">
        <v>13130</v>
      </c>
      <c r="D405" t="s">
        <v>902</v>
      </c>
      <c r="E405" t="s">
        <v>902</v>
      </c>
      <c r="F405" t="s">
        <v>1047</v>
      </c>
      <c r="G405" t="s">
        <v>1047</v>
      </c>
      <c r="H405">
        <v>1</v>
      </c>
      <c r="I405">
        <v>1</v>
      </c>
      <c r="J405" t="s">
        <v>1371</v>
      </c>
      <c r="O405" t="s">
        <v>29</v>
      </c>
      <c r="P405">
        <v>4.99</v>
      </c>
    </row>
    <row r="406" spans="1:16" x14ac:dyDescent="0.25">
      <c r="A406" s="181">
        <v>13140</v>
      </c>
      <c r="B406" s="181" t="s">
        <v>638</v>
      </c>
      <c r="C406">
        <v>13140</v>
      </c>
      <c r="D406" t="s">
        <v>638</v>
      </c>
      <c r="E406" t="s">
        <v>638</v>
      </c>
      <c r="F406" t="s">
        <v>1047</v>
      </c>
      <c r="G406" t="s">
        <v>1047</v>
      </c>
      <c r="H406">
        <v>1</v>
      </c>
      <c r="I406">
        <v>1</v>
      </c>
      <c r="J406" t="s">
        <v>1371</v>
      </c>
      <c r="O406" t="s">
        <v>29</v>
      </c>
      <c r="P406">
        <v>5.25</v>
      </c>
    </row>
    <row r="407" spans="1:16" x14ac:dyDescent="0.25">
      <c r="A407" s="181">
        <v>13150</v>
      </c>
      <c r="B407" s="181" t="s">
        <v>639</v>
      </c>
      <c r="C407">
        <v>13150</v>
      </c>
      <c r="D407" t="s">
        <v>639</v>
      </c>
      <c r="E407" t="s">
        <v>639</v>
      </c>
      <c r="F407" t="s">
        <v>1047</v>
      </c>
      <c r="G407" t="s">
        <v>1047</v>
      </c>
      <c r="H407">
        <v>1</v>
      </c>
      <c r="I407">
        <v>1</v>
      </c>
      <c r="J407" t="s">
        <v>1371</v>
      </c>
      <c r="O407" t="s">
        <v>29</v>
      </c>
      <c r="P407">
        <v>7.52</v>
      </c>
    </row>
    <row r="408" spans="1:16" x14ac:dyDescent="0.25">
      <c r="A408" s="181">
        <v>13160</v>
      </c>
      <c r="B408" s="181" t="s">
        <v>640</v>
      </c>
      <c r="C408">
        <v>13160</v>
      </c>
      <c r="D408" t="s">
        <v>640</v>
      </c>
      <c r="E408" t="s">
        <v>640</v>
      </c>
      <c r="F408" t="s">
        <v>1047</v>
      </c>
      <c r="G408" t="s">
        <v>1047</v>
      </c>
      <c r="H408">
        <v>1</v>
      </c>
      <c r="I408">
        <v>1</v>
      </c>
      <c r="J408" t="s">
        <v>1371</v>
      </c>
      <c r="O408" t="s">
        <v>29</v>
      </c>
      <c r="P408">
        <v>6.67</v>
      </c>
    </row>
    <row r="409" spans="1:16" x14ac:dyDescent="0.25">
      <c r="A409" s="181">
        <v>13170</v>
      </c>
      <c r="B409" s="181" t="s">
        <v>641</v>
      </c>
      <c r="C409">
        <v>13170</v>
      </c>
      <c r="D409" t="s">
        <v>641</v>
      </c>
      <c r="E409" t="s">
        <v>641</v>
      </c>
      <c r="F409" t="s">
        <v>1047</v>
      </c>
      <c r="G409" t="s">
        <v>1047</v>
      </c>
      <c r="H409">
        <v>1</v>
      </c>
      <c r="I409">
        <v>1</v>
      </c>
      <c r="J409" t="s">
        <v>1371</v>
      </c>
      <c r="O409" t="s">
        <v>29</v>
      </c>
      <c r="P409">
        <v>8.67</v>
      </c>
    </row>
    <row r="410" spans="1:16" x14ac:dyDescent="0.25">
      <c r="A410" s="181">
        <v>13180</v>
      </c>
      <c r="B410" s="181" t="s">
        <v>642</v>
      </c>
      <c r="C410">
        <v>13180</v>
      </c>
      <c r="D410" t="s">
        <v>642</v>
      </c>
      <c r="E410" t="s">
        <v>642</v>
      </c>
      <c r="F410" t="s">
        <v>1047</v>
      </c>
      <c r="G410" t="s">
        <v>1047</v>
      </c>
      <c r="H410">
        <v>1</v>
      </c>
      <c r="I410">
        <v>1</v>
      </c>
      <c r="J410" t="s">
        <v>1371</v>
      </c>
      <c r="O410" t="s">
        <v>29</v>
      </c>
      <c r="P410">
        <v>8.11</v>
      </c>
    </row>
    <row r="411" spans="1:16" x14ac:dyDescent="0.25">
      <c r="A411" s="181">
        <v>13190</v>
      </c>
      <c r="B411" s="181" t="s">
        <v>903</v>
      </c>
      <c r="C411">
        <v>13190</v>
      </c>
      <c r="D411" t="s">
        <v>1407</v>
      </c>
      <c r="E411" t="s">
        <v>1407</v>
      </c>
      <c r="F411" t="s">
        <v>1047</v>
      </c>
      <c r="G411" t="s">
        <v>1047</v>
      </c>
      <c r="H411">
        <v>1</v>
      </c>
      <c r="I411">
        <v>1</v>
      </c>
      <c r="J411" t="s">
        <v>1371</v>
      </c>
      <c r="O411" t="s">
        <v>29</v>
      </c>
      <c r="P411">
        <v>12.55</v>
      </c>
    </row>
    <row r="412" spans="1:16" x14ac:dyDescent="0.25">
      <c r="A412" s="181">
        <v>13200</v>
      </c>
      <c r="B412" s="181" t="s">
        <v>904</v>
      </c>
      <c r="C412">
        <v>13200</v>
      </c>
      <c r="D412" t="s">
        <v>904</v>
      </c>
      <c r="E412" t="s">
        <v>904</v>
      </c>
      <c r="F412" t="s">
        <v>1047</v>
      </c>
      <c r="G412" t="s">
        <v>1047</v>
      </c>
      <c r="H412">
        <v>1</v>
      </c>
      <c r="I412">
        <v>1</v>
      </c>
      <c r="J412" t="s">
        <v>1371</v>
      </c>
      <c r="O412" t="s">
        <v>29</v>
      </c>
      <c r="P412">
        <v>10.130000000000001</v>
      </c>
    </row>
    <row r="413" spans="1:16" x14ac:dyDescent="0.25">
      <c r="A413" s="181">
        <v>13210</v>
      </c>
      <c r="B413" s="181" t="s">
        <v>643</v>
      </c>
      <c r="C413">
        <v>13210</v>
      </c>
      <c r="D413" t="s">
        <v>643</v>
      </c>
      <c r="E413" t="s">
        <v>643</v>
      </c>
      <c r="F413" t="s">
        <v>1047</v>
      </c>
      <c r="G413" t="s">
        <v>1047</v>
      </c>
      <c r="H413">
        <v>1</v>
      </c>
      <c r="I413">
        <v>1</v>
      </c>
      <c r="J413" t="s">
        <v>1371</v>
      </c>
      <c r="O413" t="s">
        <v>29</v>
      </c>
      <c r="P413">
        <v>12.75</v>
      </c>
    </row>
    <row r="414" spans="1:16" x14ac:dyDescent="0.25">
      <c r="A414" s="181">
        <v>13220</v>
      </c>
      <c r="B414" s="181" t="s">
        <v>644</v>
      </c>
      <c r="C414">
        <v>13220</v>
      </c>
      <c r="D414" t="s">
        <v>644</v>
      </c>
      <c r="E414" t="s">
        <v>644</v>
      </c>
      <c r="F414" t="s">
        <v>1047</v>
      </c>
      <c r="G414" t="s">
        <v>1047</v>
      </c>
      <c r="H414">
        <v>1</v>
      </c>
      <c r="I414">
        <v>1</v>
      </c>
      <c r="J414" t="s">
        <v>1371</v>
      </c>
      <c r="O414" t="s">
        <v>29</v>
      </c>
      <c r="P414">
        <v>5.88</v>
      </c>
    </row>
    <row r="415" spans="1:16" x14ac:dyDescent="0.25">
      <c r="A415" s="181">
        <v>13230</v>
      </c>
      <c r="B415" s="181" t="s">
        <v>361</v>
      </c>
    </row>
    <row r="416" spans="1:16" x14ac:dyDescent="0.25">
      <c r="A416" s="181">
        <v>13240</v>
      </c>
      <c r="B416" s="181" t="s">
        <v>645</v>
      </c>
      <c r="C416">
        <v>13240</v>
      </c>
      <c r="D416" t="s">
        <v>645</v>
      </c>
      <c r="E416" t="s">
        <v>645</v>
      </c>
      <c r="F416" t="s">
        <v>1047</v>
      </c>
      <c r="G416" t="s">
        <v>1047</v>
      </c>
      <c r="H416">
        <v>1</v>
      </c>
      <c r="I416">
        <v>1</v>
      </c>
      <c r="J416" t="s">
        <v>1371</v>
      </c>
      <c r="O416" t="s">
        <v>29</v>
      </c>
      <c r="P416">
        <v>5.12</v>
      </c>
    </row>
    <row r="417" spans="1:16" x14ac:dyDescent="0.25">
      <c r="A417" s="181">
        <v>13250</v>
      </c>
      <c r="B417" s="181" t="s">
        <v>905</v>
      </c>
      <c r="C417">
        <v>13250</v>
      </c>
      <c r="D417" t="s">
        <v>905</v>
      </c>
      <c r="E417" t="s">
        <v>905</v>
      </c>
      <c r="F417" t="s">
        <v>1047</v>
      </c>
      <c r="G417" t="s">
        <v>1047</v>
      </c>
      <c r="H417">
        <v>1</v>
      </c>
      <c r="I417">
        <v>1</v>
      </c>
      <c r="J417" t="s">
        <v>1371</v>
      </c>
      <c r="O417" t="s">
        <v>29</v>
      </c>
      <c r="P417">
        <v>0</v>
      </c>
    </row>
    <row r="418" spans="1:16" x14ac:dyDescent="0.25">
      <c r="A418" s="181">
        <v>13260</v>
      </c>
      <c r="B418" s="181" t="s">
        <v>906</v>
      </c>
      <c r="C418">
        <v>13260</v>
      </c>
      <c r="D418" t="s">
        <v>906</v>
      </c>
      <c r="E418" t="s">
        <v>906</v>
      </c>
      <c r="F418" t="s">
        <v>1047</v>
      </c>
      <c r="G418" t="s">
        <v>1047</v>
      </c>
      <c r="H418">
        <v>1</v>
      </c>
      <c r="I418">
        <v>1</v>
      </c>
      <c r="J418" t="s">
        <v>1371</v>
      </c>
      <c r="O418" t="s">
        <v>29</v>
      </c>
      <c r="P418">
        <v>7.2</v>
      </c>
    </row>
    <row r="419" spans="1:16" x14ac:dyDescent="0.25">
      <c r="A419" s="181">
        <v>13270</v>
      </c>
      <c r="B419" s="181" t="s">
        <v>1016</v>
      </c>
    </row>
    <row r="420" spans="1:16" x14ac:dyDescent="0.25">
      <c r="A420" s="181">
        <v>13280</v>
      </c>
      <c r="B420" s="181" t="s">
        <v>646</v>
      </c>
    </row>
    <row r="421" spans="1:16" x14ac:dyDescent="0.25">
      <c r="A421" s="181">
        <v>13290</v>
      </c>
      <c r="B421" s="181" t="s">
        <v>362</v>
      </c>
    </row>
    <row r="422" spans="1:16" x14ac:dyDescent="0.25">
      <c r="A422" s="181">
        <v>13300</v>
      </c>
      <c r="B422" s="215" t="s">
        <v>363</v>
      </c>
    </row>
    <row r="423" spans="1:16" x14ac:dyDescent="0.25">
      <c r="A423" s="181">
        <v>13310</v>
      </c>
      <c r="B423" s="215" t="s">
        <v>907</v>
      </c>
      <c r="C423">
        <v>13310</v>
      </c>
      <c r="D423" t="s">
        <v>1464</v>
      </c>
      <c r="E423" t="s">
        <v>1464</v>
      </c>
      <c r="F423" t="s">
        <v>1047</v>
      </c>
      <c r="G423" t="s">
        <v>1047</v>
      </c>
      <c r="H423">
        <v>1</v>
      </c>
      <c r="I423">
        <v>1</v>
      </c>
      <c r="J423" t="s">
        <v>1371</v>
      </c>
      <c r="O423" t="s">
        <v>29</v>
      </c>
      <c r="P423">
        <v>18.52</v>
      </c>
    </row>
    <row r="424" spans="1:16" x14ac:dyDescent="0.25">
      <c r="A424" s="181">
        <v>13310</v>
      </c>
      <c r="B424" s="215" t="s">
        <v>911</v>
      </c>
      <c r="C424">
        <v>13330</v>
      </c>
      <c r="D424" t="s">
        <v>647</v>
      </c>
      <c r="E424" t="s">
        <v>647</v>
      </c>
      <c r="F424" t="s">
        <v>1047</v>
      </c>
      <c r="G424" t="s">
        <v>1047</v>
      </c>
      <c r="H424">
        <v>1</v>
      </c>
      <c r="I424">
        <v>1</v>
      </c>
      <c r="J424" t="s">
        <v>1371</v>
      </c>
      <c r="O424" t="s">
        <v>29</v>
      </c>
      <c r="P424">
        <v>20.95</v>
      </c>
    </row>
    <row r="425" spans="1:16" x14ac:dyDescent="0.25">
      <c r="A425" s="181">
        <v>13360</v>
      </c>
      <c r="B425" s="215" t="s">
        <v>649</v>
      </c>
      <c r="C425">
        <v>13360</v>
      </c>
      <c r="D425" t="s">
        <v>649</v>
      </c>
      <c r="E425" t="s">
        <v>649</v>
      </c>
      <c r="F425" t="s">
        <v>1047</v>
      </c>
      <c r="G425" t="s">
        <v>1047</v>
      </c>
      <c r="H425">
        <v>1</v>
      </c>
      <c r="I425">
        <v>1</v>
      </c>
      <c r="J425" t="s">
        <v>1371</v>
      </c>
      <c r="O425" t="s">
        <v>29</v>
      </c>
      <c r="P425">
        <v>34.340000000000003</v>
      </c>
    </row>
    <row r="426" spans="1:16" x14ac:dyDescent="0.25">
      <c r="A426" s="181">
        <v>13370</v>
      </c>
      <c r="B426" s="215" t="s">
        <v>909</v>
      </c>
      <c r="C426">
        <v>13370</v>
      </c>
      <c r="D426" t="s">
        <v>1449</v>
      </c>
      <c r="E426" t="s">
        <v>1449</v>
      </c>
      <c r="F426" t="s">
        <v>1047</v>
      </c>
      <c r="G426" t="s">
        <v>1047</v>
      </c>
      <c r="H426">
        <v>1</v>
      </c>
      <c r="I426">
        <v>1</v>
      </c>
      <c r="J426" t="s">
        <v>1371</v>
      </c>
      <c r="O426" t="s">
        <v>29</v>
      </c>
      <c r="P426">
        <v>5.01</v>
      </c>
    </row>
    <row r="427" spans="1:16" x14ac:dyDescent="0.25">
      <c r="A427" s="181">
        <v>13390</v>
      </c>
      <c r="B427" s="216" t="s">
        <v>650</v>
      </c>
      <c r="C427">
        <v>13390</v>
      </c>
      <c r="D427" t="s">
        <v>650</v>
      </c>
      <c r="E427" t="s">
        <v>650</v>
      </c>
      <c r="F427" t="s">
        <v>1047</v>
      </c>
      <c r="G427" t="s">
        <v>1047</v>
      </c>
      <c r="H427">
        <v>1</v>
      </c>
      <c r="I427">
        <v>1</v>
      </c>
      <c r="J427" t="s">
        <v>1371</v>
      </c>
      <c r="O427" t="s">
        <v>29</v>
      </c>
      <c r="P427">
        <v>33.35</v>
      </c>
    </row>
    <row r="428" spans="1:16" x14ac:dyDescent="0.25">
      <c r="A428" s="181">
        <v>13400</v>
      </c>
      <c r="B428" s="215" t="s">
        <v>910</v>
      </c>
      <c r="C428">
        <v>13400</v>
      </c>
      <c r="D428" t="s">
        <v>910</v>
      </c>
      <c r="E428" t="s">
        <v>910</v>
      </c>
      <c r="F428" t="s">
        <v>1047</v>
      </c>
      <c r="G428" t="s">
        <v>1047</v>
      </c>
      <c r="H428">
        <v>1</v>
      </c>
      <c r="I428">
        <v>1</v>
      </c>
      <c r="J428" t="s">
        <v>1371</v>
      </c>
      <c r="O428" t="s">
        <v>29</v>
      </c>
      <c r="P428">
        <v>16.37</v>
      </c>
    </row>
    <row r="429" spans="1:16" x14ac:dyDescent="0.25">
      <c r="A429" s="181">
        <v>13410</v>
      </c>
      <c r="B429" s="215" t="s">
        <v>651</v>
      </c>
      <c r="C429">
        <v>13410</v>
      </c>
      <c r="D429" t="s">
        <v>1408</v>
      </c>
      <c r="E429" t="s">
        <v>1408</v>
      </c>
      <c r="F429" t="s">
        <v>1047</v>
      </c>
      <c r="G429" t="s">
        <v>1047</v>
      </c>
      <c r="H429">
        <v>1</v>
      </c>
      <c r="I429">
        <v>1</v>
      </c>
      <c r="J429" t="s">
        <v>1371</v>
      </c>
      <c r="O429" t="s">
        <v>29</v>
      </c>
      <c r="P429">
        <v>15.25</v>
      </c>
    </row>
    <row r="430" spans="1:16" x14ac:dyDescent="0.25">
      <c r="A430" s="181">
        <v>15030</v>
      </c>
      <c r="B430" s="216" t="s">
        <v>383</v>
      </c>
      <c r="C430">
        <v>15030</v>
      </c>
      <c r="D430" t="s">
        <v>383</v>
      </c>
      <c r="E430" t="s">
        <v>383</v>
      </c>
      <c r="F430" t="s">
        <v>1047</v>
      </c>
      <c r="G430" t="s">
        <v>1047</v>
      </c>
      <c r="H430">
        <v>1</v>
      </c>
      <c r="I430">
        <v>1</v>
      </c>
      <c r="J430" t="s">
        <v>1371</v>
      </c>
      <c r="O430" t="s">
        <v>29</v>
      </c>
      <c r="P430">
        <v>6.93</v>
      </c>
    </row>
    <row r="431" spans="1:16" x14ac:dyDescent="0.25">
      <c r="A431" s="181">
        <v>15050</v>
      </c>
      <c r="B431" s="216" t="s">
        <v>384</v>
      </c>
      <c r="C431">
        <v>15050</v>
      </c>
      <c r="D431" t="s">
        <v>384</v>
      </c>
      <c r="E431" t="s">
        <v>384</v>
      </c>
      <c r="F431" t="s">
        <v>1047</v>
      </c>
      <c r="G431" t="s">
        <v>1047</v>
      </c>
      <c r="H431">
        <v>1</v>
      </c>
      <c r="I431">
        <v>1</v>
      </c>
      <c r="J431" t="s">
        <v>1371</v>
      </c>
      <c r="O431" t="s">
        <v>29</v>
      </c>
      <c r="P431">
        <v>6.43</v>
      </c>
    </row>
    <row r="432" spans="1:16" x14ac:dyDescent="0.25">
      <c r="A432" s="181">
        <v>15060</v>
      </c>
      <c r="B432" s="216" t="s">
        <v>385</v>
      </c>
      <c r="C432">
        <v>15060</v>
      </c>
      <c r="D432" t="s">
        <v>385</v>
      </c>
      <c r="E432" t="s">
        <v>385</v>
      </c>
      <c r="F432" t="s">
        <v>1047</v>
      </c>
      <c r="G432" t="s">
        <v>1047</v>
      </c>
      <c r="H432">
        <v>1</v>
      </c>
      <c r="I432">
        <v>1</v>
      </c>
      <c r="J432" t="s">
        <v>1371</v>
      </c>
      <c r="O432" t="s">
        <v>29</v>
      </c>
      <c r="P432">
        <v>9.0500000000000007</v>
      </c>
    </row>
    <row r="433" spans="1:16" x14ac:dyDescent="0.25">
      <c r="A433" s="181">
        <v>15070</v>
      </c>
      <c r="B433" s="216" t="s">
        <v>386</v>
      </c>
      <c r="C433">
        <v>15070</v>
      </c>
      <c r="D433" t="s">
        <v>386</v>
      </c>
      <c r="E433" t="s">
        <v>386</v>
      </c>
      <c r="F433" t="s">
        <v>1047</v>
      </c>
      <c r="G433" t="s">
        <v>1047</v>
      </c>
      <c r="H433">
        <v>1</v>
      </c>
      <c r="I433">
        <v>1</v>
      </c>
      <c r="J433" t="s">
        <v>1371</v>
      </c>
      <c r="O433" t="s">
        <v>29</v>
      </c>
      <c r="P433">
        <v>9.69</v>
      </c>
    </row>
    <row r="434" spans="1:16" x14ac:dyDescent="0.25">
      <c r="A434" s="181">
        <v>15080</v>
      </c>
      <c r="B434" s="216" t="s">
        <v>387</v>
      </c>
      <c r="C434">
        <v>15080</v>
      </c>
      <c r="D434" t="s">
        <v>387</v>
      </c>
      <c r="E434" t="s">
        <v>387</v>
      </c>
      <c r="F434" t="s">
        <v>1047</v>
      </c>
      <c r="G434" t="s">
        <v>1047</v>
      </c>
      <c r="H434">
        <v>1</v>
      </c>
      <c r="I434">
        <v>1</v>
      </c>
      <c r="J434" t="s">
        <v>1371</v>
      </c>
      <c r="O434" t="s">
        <v>29</v>
      </c>
      <c r="P434">
        <v>14.7</v>
      </c>
    </row>
    <row r="435" spans="1:16" x14ac:dyDescent="0.25">
      <c r="A435" s="181">
        <v>15090</v>
      </c>
      <c r="B435" s="216" t="s">
        <v>388</v>
      </c>
      <c r="C435">
        <v>15090</v>
      </c>
      <c r="D435" t="s">
        <v>388</v>
      </c>
      <c r="E435" t="s">
        <v>388</v>
      </c>
      <c r="F435" t="s">
        <v>1047</v>
      </c>
      <c r="G435" t="s">
        <v>1047</v>
      </c>
      <c r="H435">
        <v>1</v>
      </c>
      <c r="I435">
        <v>1</v>
      </c>
      <c r="J435" t="s">
        <v>1371</v>
      </c>
      <c r="O435" t="s">
        <v>29</v>
      </c>
      <c r="P435">
        <v>15.96</v>
      </c>
    </row>
    <row r="436" spans="1:16" x14ac:dyDescent="0.25">
      <c r="A436" s="181">
        <v>15100</v>
      </c>
      <c r="B436" s="216" t="s">
        <v>389</v>
      </c>
      <c r="C436">
        <v>15100</v>
      </c>
      <c r="D436" t="s">
        <v>389</v>
      </c>
      <c r="E436" t="s">
        <v>389</v>
      </c>
      <c r="F436" t="s">
        <v>1047</v>
      </c>
      <c r="G436" t="s">
        <v>1047</v>
      </c>
      <c r="H436">
        <v>1</v>
      </c>
      <c r="I436">
        <v>1</v>
      </c>
      <c r="J436" t="s">
        <v>1371</v>
      </c>
      <c r="O436" t="s">
        <v>29</v>
      </c>
      <c r="P436">
        <v>20.84</v>
      </c>
    </row>
    <row r="437" spans="1:16" x14ac:dyDescent="0.25">
      <c r="A437" s="181">
        <v>15110</v>
      </c>
      <c r="B437" s="216" t="s">
        <v>390</v>
      </c>
      <c r="C437">
        <v>15110</v>
      </c>
      <c r="D437" t="s">
        <v>390</v>
      </c>
      <c r="E437" t="s">
        <v>390</v>
      </c>
      <c r="F437" t="s">
        <v>1047</v>
      </c>
      <c r="G437" t="s">
        <v>1047</v>
      </c>
      <c r="H437">
        <v>1</v>
      </c>
      <c r="I437">
        <v>1</v>
      </c>
      <c r="J437" t="s">
        <v>1371</v>
      </c>
      <c r="O437" t="s">
        <v>29</v>
      </c>
      <c r="P437">
        <v>22.8</v>
      </c>
    </row>
    <row r="438" spans="1:16" x14ac:dyDescent="0.25">
      <c r="A438" s="185">
        <v>15120</v>
      </c>
      <c r="B438" s="216" t="s">
        <v>391</v>
      </c>
      <c r="C438">
        <v>15120</v>
      </c>
      <c r="D438" t="s">
        <v>391</v>
      </c>
      <c r="E438" t="s">
        <v>391</v>
      </c>
      <c r="F438" t="s">
        <v>1047</v>
      </c>
      <c r="G438" t="s">
        <v>1047</v>
      </c>
      <c r="H438">
        <v>1</v>
      </c>
      <c r="I438">
        <v>1</v>
      </c>
      <c r="J438" t="s">
        <v>1371</v>
      </c>
      <c r="O438" t="s">
        <v>29</v>
      </c>
      <c r="P438">
        <v>35.82</v>
      </c>
    </row>
    <row r="439" spans="1:16" x14ac:dyDescent="0.25">
      <c r="A439" s="181">
        <v>15130</v>
      </c>
      <c r="B439" s="216" t="s">
        <v>392</v>
      </c>
    </row>
    <row r="440" spans="1:16" x14ac:dyDescent="0.25">
      <c r="A440" s="181">
        <v>15140</v>
      </c>
      <c r="B440" s="216" t="s">
        <v>393</v>
      </c>
    </row>
    <row r="441" spans="1:16" x14ac:dyDescent="0.25">
      <c r="A441" s="181">
        <v>15150</v>
      </c>
      <c r="B441" s="216" t="s">
        <v>394</v>
      </c>
      <c r="C441">
        <v>15150</v>
      </c>
      <c r="D441" t="s">
        <v>394</v>
      </c>
      <c r="E441" t="s">
        <v>394</v>
      </c>
      <c r="F441" t="s">
        <v>1383</v>
      </c>
      <c r="G441" t="s">
        <v>1384</v>
      </c>
      <c r="H441">
        <v>1</v>
      </c>
      <c r="I441">
        <v>25</v>
      </c>
      <c r="J441" t="s">
        <v>1371</v>
      </c>
      <c r="O441" t="s">
        <v>29</v>
      </c>
      <c r="P441">
        <v>19.46</v>
      </c>
    </row>
    <row r="442" spans="1:16" x14ac:dyDescent="0.25">
      <c r="A442" s="181">
        <v>15170</v>
      </c>
      <c r="B442" s="216" t="s">
        <v>395</v>
      </c>
      <c r="C442">
        <v>15170</v>
      </c>
      <c r="D442" t="s">
        <v>395</v>
      </c>
      <c r="E442" t="s">
        <v>395</v>
      </c>
      <c r="F442" t="s">
        <v>1383</v>
      </c>
      <c r="G442" t="s">
        <v>1384</v>
      </c>
      <c r="H442">
        <v>1</v>
      </c>
      <c r="I442">
        <v>25</v>
      </c>
      <c r="J442" t="s">
        <v>1371</v>
      </c>
      <c r="O442" t="s">
        <v>29</v>
      </c>
      <c r="P442">
        <v>25.01</v>
      </c>
    </row>
    <row r="443" spans="1:16" x14ac:dyDescent="0.25">
      <c r="A443" s="181">
        <v>15180</v>
      </c>
      <c r="B443" s="216" t="s">
        <v>396</v>
      </c>
      <c r="C443">
        <v>15180</v>
      </c>
      <c r="D443" t="s">
        <v>396</v>
      </c>
      <c r="E443" t="s">
        <v>396</v>
      </c>
      <c r="F443" t="s">
        <v>1383</v>
      </c>
      <c r="G443" t="s">
        <v>1384</v>
      </c>
      <c r="H443">
        <v>1</v>
      </c>
      <c r="I443">
        <v>25</v>
      </c>
      <c r="J443" t="s">
        <v>1371</v>
      </c>
      <c r="O443" t="s">
        <v>29</v>
      </c>
      <c r="P443">
        <v>27.17</v>
      </c>
    </row>
    <row r="444" spans="1:16" x14ac:dyDescent="0.25">
      <c r="A444" s="181">
        <v>15190</v>
      </c>
      <c r="B444" s="216" t="s">
        <v>912</v>
      </c>
      <c r="C444">
        <v>15190</v>
      </c>
      <c r="D444" t="s">
        <v>1473</v>
      </c>
      <c r="E444" t="s">
        <v>1473</v>
      </c>
      <c r="F444" t="s">
        <v>1383</v>
      </c>
      <c r="G444" t="s">
        <v>1384</v>
      </c>
      <c r="H444">
        <v>1</v>
      </c>
      <c r="I444">
        <v>25</v>
      </c>
      <c r="J444" t="s">
        <v>1371</v>
      </c>
      <c r="O444" t="s">
        <v>29</v>
      </c>
      <c r="P444">
        <v>30.33</v>
      </c>
    </row>
    <row r="445" spans="1:16" x14ac:dyDescent="0.25">
      <c r="A445" s="181">
        <v>15200</v>
      </c>
      <c r="B445" s="216" t="s">
        <v>397</v>
      </c>
      <c r="C445">
        <v>15200</v>
      </c>
      <c r="D445" t="s">
        <v>397</v>
      </c>
      <c r="E445" t="s">
        <v>397</v>
      </c>
      <c r="F445" t="s">
        <v>1383</v>
      </c>
      <c r="G445" t="s">
        <v>1384</v>
      </c>
      <c r="H445">
        <v>1</v>
      </c>
      <c r="I445">
        <v>25</v>
      </c>
      <c r="J445" t="s">
        <v>1371</v>
      </c>
      <c r="O445" t="s">
        <v>29</v>
      </c>
      <c r="P445">
        <v>33.64</v>
      </c>
    </row>
    <row r="446" spans="1:16" x14ac:dyDescent="0.25">
      <c r="A446" s="181">
        <v>15210</v>
      </c>
      <c r="B446" s="215" t="s">
        <v>398</v>
      </c>
      <c r="C446">
        <v>15210</v>
      </c>
      <c r="D446" t="s">
        <v>398</v>
      </c>
      <c r="E446" t="s">
        <v>398</v>
      </c>
      <c r="F446" t="s">
        <v>1383</v>
      </c>
      <c r="G446" t="s">
        <v>1384</v>
      </c>
      <c r="H446">
        <v>1</v>
      </c>
      <c r="I446">
        <v>25</v>
      </c>
      <c r="J446" t="s">
        <v>1371</v>
      </c>
      <c r="O446" t="s">
        <v>29</v>
      </c>
      <c r="P446">
        <v>39.630000000000003</v>
      </c>
    </row>
    <row r="447" spans="1:16" x14ac:dyDescent="0.25">
      <c r="A447" s="181">
        <v>15220</v>
      </c>
      <c r="B447" s="216" t="s">
        <v>399</v>
      </c>
      <c r="C447">
        <v>15220</v>
      </c>
      <c r="D447" t="s">
        <v>399</v>
      </c>
      <c r="E447" t="s">
        <v>399</v>
      </c>
      <c r="F447" t="s">
        <v>1383</v>
      </c>
      <c r="G447" t="s">
        <v>1384</v>
      </c>
      <c r="H447">
        <v>1</v>
      </c>
      <c r="I447">
        <v>25</v>
      </c>
      <c r="J447" t="s">
        <v>1371</v>
      </c>
      <c r="O447" t="s">
        <v>29</v>
      </c>
      <c r="P447">
        <v>48.35</v>
      </c>
    </row>
    <row r="448" spans="1:16" x14ac:dyDescent="0.25">
      <c r="A448" s="181">
        <v>15230</v>
      </c>
      <c r="B448" s="216" t="s">
        <v>400</v>
      </c>
      <c r="C448">
        <v>15230</v>
      </c>
      <c r="D448" t="s">
        <v>400</v>
      </c>
      <c r="E448" t="s">
        <v>400</v>
      </c>
      <c r="F448" t="s">
        <v>1383</v>
      </c>
      <c r="G448" t="s">
        <v>1384</v>
      </c>
      <c r="H448">
        <v>1</v>
      </c>
      <c r="I448">
        <v>25</v>
      </c>
      <c r="J448" t="s">
        <v>1371</v>
      </c>
      <c r="O448" t="s">
        <v>29</v>
      </c>
      <c r="P448">
        <v>57.34</v>
      </c>
    </row>
    <row r="449" spans="1:16" x14ac:dyDescent="0.25">
      <c r="A449" s="181">
        <v>15240</v>
      </c>
      <c r="B449" s="216" t="s">
        <v>401</v>
      </c>
      <c r="C449">
        <v>15240</v>
      </c>
      <c r="D449" t="s">
        <v>401</v>
      </c>
      <c r="E449" t="s">
        <v>401</v>
      </c>
      <c r="F449" t="s">
        <v>1383</v>
      </c>
      <c r="G449" t="s">
        <v>1384</v>
      </c>
      <c r="H449">
        <v>1</v>
      </c>
      <c r="I449">
        <v>25</v>
      </c>
      <c r="J449" t="s">
        <v>1371</v>
      </c>
      <c r="O449" t="s">
        <v>29</v>
      </c>
      <c r="P449">
        <v>82.55</v>
      </c>
    </row>
    <row r="450" spans="1:16" x14ac:dyDescent="0.25">
      <c r="A450" s="181">
        <v>15250</v>
      </c>
      <c r="B450" s="216" t="s">
        <v>402</v>
      </c>
    </row>
    <row r="451" spans="1:16" x14ac:dyDescent="0.25">
      <c r="A451" s="181">
        <v>15260</v>
      </c>
      <c r="B451" s="216" t="s">
        <v>1745</v>
      </c>
    </row>
    <row r="452" spans="1:16" x14ac:dyDescent="0.25">
      <c r="A452" s="181">
        <v>15390</v>
      </c>
      <c r="B452" s="216" t="s">
        <v>403</v>
      </c>
    </row>
    <row r="453" spans="1:16" x14ac:dyDescent="0.25">
      <c r="A453" s="181">
        <v>15410</v>
      </c>
      <c r="B453" s="216" t="s">
        <v>404</v>
      </c>
    </row>
    <row r="454" spans="1:16" x14ac:dyDescent="0.25">
      <c r="A454" s="181">
        <v>15420</v>
      </c>
      <c r="B454" s="215" t="s">
        <v>405</v>
      </c>
    </row>
    <row r="455" spans="1:16" x14ac:dyDescent="0.25">
      <c r="A455" s="181">
        <v>15430</v>
      </c>
      <c r="B455" s="216" t="s">
        <v>406</v>
      </c>
    </row>
    <row r="456" spans="1:16" x14ac:dyDescent="0.25">
      <c r="A456" s="181">
        <v>15440</v>
      </c>
      <c r="B456" s="216" t="s">
        <v>407</v>
      </c>
    </row>
    <row r="457" spans="1:16" x14ac:dyDescent="0.25">
      <c r="A457" s="181">
        <v>15450</v>
      </c>
      <c r="B457" s="216" t="s">
        <v>408</v>
      </c>
    </row>
    <row r="458" spans="1:16" x14ac:dyDescent="0.25">
      <c r="A458" s="181">
        <v>15460</v>
      </c>
      <c r="B458" s="216" t="s">
        <v>409</v>
      </c>
    </row>
    <row r="459" spans="1:16" x14ac:dyDescent="0.25">
      <c r="A459" s="181">
        <v>15470</v>
      </c>
      <c r="B459" s="216" t="s">
        <v>410</v>
      </c>
    </row>
    <row r="460" spans="1:16" x14ac:dyDescent="0.25">
      <c r="A460" s="181">
        <v>15480</v>
      </c>
      <c r="B460" s="216" t="s">
        <v>411</v>
      </c>
    </row>
    <row r="461" spans="1:16" x14ac:dyDescent="0.25">
      <c r="A461" s="181">
        <v>15490</v>
      </c>
      <c r="B461" s="216" t="s">
        <v>412</v>
      </c>
    </row>
    <row r="462" spans="1:16" x14ac:dyDescent="0.25">
      <c r="A462" s="181">
        <v>15500</v>
      </c>
      <c r="B462" s="216" t="s">
        <v>413</v>
      </c>
    </row>
    <row r="463" spans="1:16" x14ac:dyDescent="0.25">
      <c r="A463" s="181">
        <v>15390</v>
      </c>
      <c r="B463" s="216" t="s">
        <v>414</v>
      </c>
      <c r="C463">
        <v>15390</v>
      </c>
      <c r="D463" t="s">
        <v>414</v>
      </c>
      <c r="E463" t="s">
        <v>414</v>
      </c>
      <c r="F463" t="s">
        <v>1383</v>
      </c>
      <c r="G463" t="s">
        <v>1384</v>
      </c>
      <c r="H463">
        <v>1</v>
      </c>
      <c r="I463">
        <v>25</v>
      </c>
      <c r="J463" t="s">
        <v>1371</v>
      </c>
      <c r="O463" t="s">
        <v>29</v>
      </c>
      <c r="P463">
        <v>32.61</v>
      </c>
    </row>
    <row r="464" spans="1:16" x14ac:dyDescent="0.25">
      <c r="A464" s="181">
        <v>15410</v>
      </c>
      <c r="B464" s="216" t="s">
        <v>415</v>
      </c>
      <c r="C464">
        <v>15410</v>
      </c>
      <c r="D464" t="s">
        <v>415</v>
      </c>
      <c r="E464" t="s">
        <v>415</v>
      </c>
      <c r="F464" t="s">
        <v>1383</v>
      </c>
      <c r="G464" t="s">
        <v>1384</v>
      </c>
      <c r="H464">
        <v>1</v>
      </c>
      <c r="I464">
        <v>25</v>
      </c>
      <c r="J464" t="s">
        <v>1371</v>
      </c>
      <c r="O464" t="s">
        <v>29</v>
      </c>
      <c r="P464">
        <v>37.880000000000003</v>
      </c>
    </row>
    <row r="465" spans="1:16" x14ac:dyDescent="0.25">
      <c r="A465" s="181">
        <v>15420</v>
      </c>
      <c r="B465" s="215" t="s">
        <v>416</v>
      </c>
      <c r="C465">
        <v>15420</v>
      </c>
      <c r="D465" t="s">
        <v>416</v>
      </c>
      <c r="E465" t="s">
        <v>416</v>
      </c>
      <c r="F465" t="s">
        <v>1383</v>
      </c>
      <c r="G465" t="s">
        <v>1384</v>
      </c>
      <c r="H465">
        <v>1</v>
      </c>
      <c r="I465">
        <v>25</v>
      </c>
      <c r="J465" t="s">
        <v>1371</v>
      </c>
      <c r="O465" t="s">
        <v>29</v>
      </c>
      <c r="P465">
        <v>41.71</v>
      </c>
    </row>
    <row r="466" spans="1:16" x14ac:dyDescent="0.25">
      <c r="A466" s="181">
        <v>15430</v>
      </c>
      <c r="B466" s="216" t="s">
        <v>417</v>
      </c>
      <c r="C466">
        <v>15430</v>
      </c>
      <c r="D466" t="s">
        <v>417</v>
      </c>
      <c r="E466" t="s">
        <v>417</v>
      </c>
      <c r="F466" t="s">
        <v>1383</v>
      </c>
      <c r="G466" t="s">
        <v>1384</v>
      </c>
      <c r="H466">
        <v>1</v>
      </c>
      <c r="I466">
        <v>25</v>
      </c>
      <c r="J466" t="s">
        <v>1371</v>
      </c>
      <c r="O466" t="s">
        <v>29</v>
      </c>
      <c r="P466">
        <v>46.46</v>
      </c>
    </row>
    <row r="467" spans="1:16" x14ac:dyDescent="0.25">
      <c r="A467" s="181">
        <v>15440</v>
      </c>
      <c r="B467" s="216" t="s">
        <v>418</v>
      </c>
      <c r="C467">
        <v>15440</v>
      </c>
      <c r="D467" t="s">
        <v>418</v>
      </c>
      <c r="E467" t="s">
        <v>418</v>
      </c>
      <c r="F467" t="s">
        <v>1383</v>
      </c>
      <c r="G467" t="s">
        <v>1384</v>
      </c>
      <c r="H467">
        <v>1</v>
      </c>
      <c r="I467">
        <v>25</v>
      </c>
      <c r="J467" t="s">
        <v>1371</v>
      </c>
      <c r="O467" t="s">
        <v>29</v>
      </c>
      <c r="P467">
        <v>51.22</v>
      </c>
    </row>
    <row r="468" spans="1:16" x14ac:dyDescent="0.25">
      <c r="A468" s="181">
        <v>15450</v>
      </c>
      <c r="B468" s="216" t="s">
        <v>419</v>
      </c>
      <c r="C468">
        <v>15450</v>
      </c>
      <c r="D468" t="s">
        <v>419</v>
      </c>
      <c r="E468" t="s">
        <v>419</v>
      </c>
      <c r="F468" t="s">
        <v>1383</v>
      </c>
      <c r="G468" t="s">
        <v>1384</v>
      </c>
      <c r="H468">
        <v>1</v>
      </c>
      <c r="I468">
        <v>25</v>
      </c>
      <c r="J468" t="s">
        <v>1371</v>
      </c>
      <c r="O468" t="s">
        <v>29</v>
      </c>
      <c r="P468">
        <v>56.42</v>
      </c>
    </row>
    <row r="469" spans="1:16" x14ac:dyDescent="0.25">
      <c r="A469" s="181">
        <v>15460</v>
      </c>
      <c r="B469" s="216" t="s">
        <v>420</v>
      </c>
      <c r="C469">
        <v>15460</v>
      </c>
      <c r="D469" t="s">
        <v>420</v>
      </c>
      <c r="E469" t="s">
        <v>420</v>
      </c>
      <c r="F469" t="s">
        <v>1383</v>
      </c>
      <c r="G469" t="s">
        <v>1384</v>
      </c>
      <c r="H469">
        <v>1</v>
      </c>
      <c r="I469">
        <v>25</v>
      </c>
      <c r="J469" t="s">
        <v>1371</v>
      </c>
      <c r="O469" t="s">
        <v>29</v>
      </c>
      <c r="P469">
        <v>69.27</v>
      </c>
    </row>
    <row r="470" spans="1:16" x14ac:dyDescent="0.25">
      <c r="A470" s="181">
        <v>15470</v>
      </c>
      <c r="B470" s="216" t="s">
        <v>421</v>
      </c>
      <c r="C470">
        <v>15470</v>
      </c>
      <c r="D470" t="s">
        <v>421</v>
      </c>
      <c r="E470" t="s">
        <v>421</v>
      </c>
      <c r="F470" t="s">
        <v>1383</v>
      </c>
      <c r="G470" t="s">
        <v>1384</v>
      </c>
      <c r="H470">
        <v>1</v>
      </c>
      <c r="I470">
        <v>25</v>
      </c>
      <c r="J470" t="s">
        <v>1371</v>
      </c>
      <c r="O470" t="s">
        <v>29</v>
      </c>
      <c r="P470">
        <v>85.22</v>
      </c>
    </row>
    <row r="471" spans="1:16" x14ac:dyDescent="0.25">
      <c r="A471" s="181">
        <v>15480</v>
      </c>
      <c r="B471" s="216" t="s">
        <v>422</v>
      </c>
      <c r="C471">
        <v>15480</v>
      </c>
      <c r="D471" t="s">
        <v>422</v>
      </c>
      <c r="E471" t="s">
        <v>422</v>
      </c>
      <c r="F471" t="s">
        <v>1383</v>
      </c>
      <c r="G471" t="s">
        <v>1384</v>
      </c>
      <c r="H471">
        <v>1</v>
      </c>
      <c r="I471">
        <v>25</v>
      </c>
      <c r="J471" t="s">
        <v>1371</v>
      </c>
      <c r="O471" t="s">
        <v>29</v>
      </c>
      <c r="P471">
        <v>98.78</v>
      </c>
    </row>
    <row r="472" spans="1:16" x14ac:dyDescent="0.25">
      <c r="A472" s="181">
        <v>15490</v>
      </c>
      <c r="B472" s="216" t="s">
        <v>423</v>
      </c>
    </row>
    <row r="473" spans="1:16" x14ac:dyDescent="0.25">
      <c r="A473" s="181">
        <v>15500</v>
      </c>
      <c r="B473" s="216" t="s">
        <v>424</v>
      </c>
    </row>
    <row r="474" spans="1:16" x14ac:dyDescent="0.25">
      <c r="A474" s="181">
        <v>20000</v>
      </c>
      <c r="B474" s="216" t="s">
        <v>425</v>
      </c>
      <c r="C474">
        <v>20000</v>
      </c>
      <c r="D474" t="s">
        <v>425</v>
      </c>
      <c r="E474" t="s">
        <v>425</v>
      </c>
      <c r="F474" t="s">
        <v>1047</v>
      </c>
      <c r="G474" t="s">
        <v>1047</v>
      </c>
      <c r="H474">
        <v>1</v>
      </c>
      <c r="I474">
        <v>1</v>
      </c>
      <c r="J474" t="s">
        <v>1371</v>
      </c>
      <c r="O474" t="s">
        <v>29</v>
      </c>
      <c r="P474">
        <v>5.24</v>
      </c>
    </row>
    <row r="475" spans="1:16" x14ac:dyDescent="0.25">
      <c r="A475" s="181">
        <v>20010</v>
      </c>
      <c r="B475" s="216" t="s">
        <v>426</v>
      </c>
      <c r="C475">
        <v>20010</v>
      </c>
      <c r="D475" t="s">
        <v>426</v>
      </c>
      <c r="E475" t="s">
        <v>426</v>
      </c>
      <c r="F475" t="s">
        <v>1047</v>
      </c>
      <c r="G475" t="s">
        <v>1047</v>
      </c>
      <c r="H475">
        <v>1</v>
      </c>
      <c r="I475">
        <v>1</v>
      </c>
      <c r="J475" t="s">
        <v>1371</v>
      </c>
      <c r="O475" t="s">
        <v>29</v>
      </c>
      <c r="P475">
        <v>0.93</v>
      </c>
    </row>
    <row r="476" spans="1:16" x14ac:dyDescent="0.25">
      <c r="A476" s="181">
        <v>20020</v>
      </c>
      <c r="B476" s="216" t="s">
        <v>427</v>
      </c>
      <c r="C476">
        <v>20020</v>
      </c>
      <c r="D476" t="s">
        <v>427</v>
      </c>
      <c r="E476" t="s">
        <v>427</v>
      </c>
      <c r="F476" t="s">
        <v>1047</v>
      </c>
      <c r="G476" t="s">
        <v>1047</v>
      </c>
      <c r="H476">
        <v>1</v>
      </c>
      <c r="I476">
        <v>1</v>
      </c>
      <c r="J476" t="s">
        <v>1371</v>
      </c>
      <c r="O476" t="s">
        <v>29</v>
      </c>
      <c r="P476">
        <v>0.38</v>
      </c>
    </row>
    <row r="477" spans="1:16" x14ac:dyDescent="0.25">
      <c r="A477" s="181">
        <v>20025</v>
      </c>
      <c r="B477" s="216" t="s">
        <v>653</v>
      </c>
      <c r="C477">
        <v>20025</v>
      </c>
      <c r="D477" t="s">
        <v>653</v>
      </c>
      <c r="E477" t="s">
        <v>653</v>
      </c>
      <c r="F477" t="s">
        <v>1047</v>
      </c>
      <c r="G477" t="s">
        <v>1047</v>
      </c>
      <c r="H477">
        <v>1</v>
      </c>
      <c r="I477">
        <v>1</v>
      </c>
      <c r="J477" t="s">
        <v>1371</v>
      </c>
      <c r="O477" t="s">
        <v>29</v>
      </c>
      <c r="P477">
        <v>0.43</v>
      </c>
    </row>
    <row r="478" spans="1:16" x14ac:dyDescent="0.25">
      <c r="A478" s="181">
        <v>20030</v>
      </c>
      <c r="B478" s="216" t="s">
        <v>428</v>
      </c>
      <c r="C478">
        <v>20030</v>
      </c>
      <c r="D478" t="s">
        <v>428</v>
      </c>
      <c r="E478" t="s">
        <v>428</v>
      </c>
      <c r="F478" t="s">
        <v>1047</v>
      </c>
      <c r="G478" t="s">
        <v>1047</v>
      </c>
      <c r="H478">
        <v>1</v>
      </c>
      <c r="I478">
        <v>1</v>
      </c>
      <c r="J478" t="s">
        <v>1371</v>
      </c>
      <c r="O478" t="s">
        <v>29</v>
      </c>
      <c r="P478">
        <v>0.41</v>
      </c>
    </row>
    <row r="479" spans="1:16" x14ac:dyDescent="0.25">
      <c r="A479" s="181">
        <v>20040</v>
      </c>
      <c r="B479" s="216" t="s">
        <v>429</v>
      </c>
      <c r="C479">
        <v>20040</v>
      </c>
      <c r="D479" t="s">
        <v>429</v>
      </c>
      <c r="E479" t="s">
        <v>429</v>
      </c>
      <c r="F479" t="s">
        <v>1047</v>
      </c>
      <c r="G479" t="s">
        <v>1047</v>
      </c>
      <c r="H479">
        <v>1</v>
      </c>
      <c r="I479">
        <v>1</v>
      </c>
      <c r="J479" t="s">
        <v>1371</v>
      </c>
      <c r="O479" t="s">
        <v>29</v>
      </c>
      <c r="P479">
        <v>0.36</v>
      </c>
    </row>
    <row r="480" spans="1:16" x14ac:dyDescent="0.25">
      <c r="A480" s="181">
        <v>20050</v>
      </c>
      <c r="B480" s="216" t="s">
        <v>430</v>
      </c>
      <c r="C480">
        <v>20050</v>
      </c>
      <c r="D480" t="s">
        <v>430</v>
      </c>
      <c r="E480" t="s">
        <v>430</v>
      </c>
      <c r="F480" t="s">
        <v>1047</v>
      </c>
      <c r="G480" t="s">
        <v>1047</v>
      </c>
      <c r="H480">
        <v>1</v>
      </c>
      <c r="I480">
        <v>1</v>
      </c>
      <c r="J480" t="s">
        <v>1371</v>
      </c>
      <c r="O480" t="s">
        <v>29</v>
      </c>
      <c r="P480">
        <v>0.26</v>
      </c>
    </row>
    <row r="481" spans="1:16" x14ac:dyDescent="0.25">
      <c r="A481" s="181">
        <v>20060</v>
      </c>
      <c r="B481" s="216" t="s">
        <v>431</v>
      </c>
      <c r="C481">
        <v>20060</v>
      </c>
      <c r="D481" t="s">
        <v>431</v>
      </c>
      <c r="E481" t="s">
        <v>431</v>
      </c>
      <c r="F481" t="s">
        <v>1047</v>
      </c>
      <c r="G481" t="s">
        <v>1047</v>
      </c>
      <c r="H481">
        <v>1</v>
      </c>
      <c r="I481">
        <v>1</v>
      </c>
      <c r="J481" t="s">
        <v>1371</v>
      </c>
      <c r="O481" t="s">
        <v>29</v>
      </c>
      <c r="P481">
        <v>0.44</v>
      </c>
    </row>
    <row r="482" spans="1:16" x14ac:dyDescent="0.25">
      <c r="A482" s="181">
        <v>20070</v>
      </c>
      <c r="B482" s="216" t="s">
        <v>432</v>
      </c>
      <c r="C482">
        <v>20070</v>
      </c>
      <c r="D482" t="s">
        <v>432</v>
      </c>
      <c r="E482" t="s">
        <v>432</v>
      </c>
      <c r="F482" t="s">
        <v>1047</v>
      </c>
      <c r="G482" t="s">
        <v>1047</v>
      </c>
      <c r="H482">
        <v>1</v>
      </c>
      <c r="I482">
        <v>1</v>
      </c>
      <c r="J482" t="s">
        <v>1371</v>
      </c>
      <c r="O482" t="s">
        <v>29</v>
      </c>
      <c r="P482">
        <v>0.34</v>
      </c>
    </row>
    <row r="483" spans="1:16" x14ac:dyDescent="0.25">
      <c r="A483" s="181">
        <v>20081</v>
      </c>
      <c r="B483" s="216" t="s">
        <v>654</v>
      </c>
      <c r="C483">
        <v>20080</v>
      </c>
      <c r="D483" t="s">
        <v>1446</v>
      </c>
      <c r="E483" t="s">
        <v>1446</v>
      </c>
      <c r="F483" t="s">
        <v>1047</v>
      </c>
      <c r="G483" t="s">
        <v>1047</v>
      </c>
      <c r="H483">
        <v>1</v>
      </c>
      <c r="I483">
        <v>1</v>
      </c>
      <c r="J483" t="s">
        <v>1371</v>
      </c>
      <c r="O483" t="s">
        <v>29</v>
      </c>
      <c r="P483">
        <v>1.23</v>
      </c>
    </row>
    <row r="484" spans="1:16" x14ac:dyDescent="0.25">
      <c r="A484" s="181">
        <v>20083</v>
      </c>
      <c r="B484" s="216" t="s">
        <v>913</v>
      </c>
      <c r="C484">
        <v>20083</v>
      </c>
      <c r="D484" t="s">
        <v>913</v>
      </c>
      <c r="E484" t="s">
        <v>913</v>
      </c>
      <c r="F484" t="s">
        <v>1047</v>
      </c>
      <c r="G484" t="s">
        <v>1047</v>
      </c>
      <c r="H484">
        <v>1</v>
      </c>
      <c r="I484">
        <v>1</v>
      </c>
      <c r="J484" t="s">
        <v>1371</v>
      </c>
      <c r="O484" t="s">
        <v>29</v>
      </c>
      <c r="P484">
        <v>16.899999999999999</v>
      </c>
    </row>
    <row r="485" spans="1:16" x14ac:dyDescent="0.25">
      <c r="A485" s="181">
        <v>20084</v>
      </c>
      <c r="B485" s="216" t="s">
        <v>655</v>
      </c>
      <c r="C485">
        <v>20084</v>
      </c>
      <c r="D485" t="s">
        <v>655</v>
      </c>
      <c r="E485" t="s">
        <v>655</v>
      </c>
      <c r="F485" t="s">
        <v>1047</v>
      </c>
      <c r="G485" t="s">
        <v>1047</v>
      </c>
      <c r="H485">
        <v>1</v>
      </c>
      <c r="I485">
        <v>1</v>
      </c>
      <c r="J485" t="s">
        <v>1371</v>
      </c>
      <c r="O485" t="s">
        <v>29</v>
      </c>
      <c r="P485">
        <v>1.5</v>
      </c>
    </row>
    <row r="486" spans="1:16" x14ac:dyDescent="0.25">
      <c r="A486" s="181">
        <v>20085</v>
      </c>
      <c r="B486" s="216" t="s">
        <v>656</v>
      </c>
      <c r="C486">
        <v>20085</v>
      </c>
      <c r="D486" t="s">
        <v>656</v>
      </c>
      <c r="E486" t="s">
        <v>656</v>
      </c>
      <c r="F486" t="s">
        <v>1047</v>
      </c>
      <c r="G486" t="s">
        <v>1047</v>
      </c>
      <c r="H486">
        <v>1</v>
      </c>
      <c r="I486">
        <v>1</v>
      </c>
      <c r="J486" t="s">
        <v>1371</v>
      </c>
      <c r="O486" t="s">
        <v>29</v>
      </c>
      <c r="P486">
        <v>0.9</v>
      </c>
    </row>
    <row r="487" spans="1:16" x14ac:dyDescent="0.25">
      <c r="A487" s="181">
        <v>20086</v>
      </c>
      <c r="B487" s="216" t="s">
        <v>435</v>
      </c>
      <c r="C487">
        <v>20086</v>
      </c>
      <c r="D487" t="s">
        <v>435</v>
      </c>
      <c r="E487" t="s">
        <v>435</v>
      </c>
      <c r="F487" t="s">
        <v>1047</v>
      </c>
      <c r="G487" t="s">
        <v>1047</v>
      </c>
      <c r="H487">
        <v>1</v>
      </c>
      <c r="I487">
        <v>1</v>
      </c>
      <c r="J487" t="s">
        <v>1371</v>
      </c>
      <c r="O487" t="s">
        <v>29</v>
      </c>
      <c r="P487">
        <v>0.79</v>
      </c>
    </row>
    <row r="488" spans="1:16" x14ac:dyDescent="0.25">
      <c r="A488" s="181">
        <v>20087</v>
      </c>
      <c r="B488" s="216" t="s">
        <v>657</v>
      </c>
      <c r="C488">
        <v>20087</v>
      </c>
      <c r="D488" t="s">
        <v>1372</v>
      </c>
      <c r="E488" t="s">
        <v>1372</v>
      </c>
      <c r="F488" t="s">
        <v>1047</v>
      </c>
      <c r="G488" t="s">
        <v>1047</v>
      </c>
      <c r="H488">
        <v>1</v>
      </c>
      <c r="I488">
        <v>1</v>
      </c>
      <c r="J488" t="s">
        <v>1371</v>
      </c>
      <c r="O488" t="s">
        <v>29</v>
      </c>
      <c r="P488">
        <v>1.37</v>
      </c>
    </row>
    <row r="489" spans="1:16" x14ac:dyDescent="0.25">
      <c r="A489" s="181">
        <v>20088</v>
      </c>
      <c r="B489" s="216" t="s">
        <v>658</v>
      </c>
      <c r="C489">
        <v>20088</v>
      </c>
      <c r="D489" t="s">
        <v>1447</v>
      </c>
      <c r="E489" t="s">
        <v>1447</v>
      </c>
      <c r="F489" t="s">
        <v>1047</v>
      </c>
      <c r="G489" t="s">
        <v>1047</v>
      </c>
      <c r="H489">
        <v>1</v>
      </c>
      <c r="I489">
        <v>1</v>
      </c>
      <c r="J489" t="s">
        <v>1371</v>
      </c>
      <c r="O489" t="s">
        <v>29</v>
      </c>
      <c r="P489">
        <v>1.04</v>
      </c>
    </row>
    <row r="490" spans="1:16" x14ac:dyDescent="0.25">
      <c r="A490" s="181">
        <v>20090</v>
      </c>
      <c r="B490" s="216" t="s">
        <v>659</v>
      </c>
      <c r="C490">
        <v>20090</v>
      </c>
      <c r="D490" t="s">
        <v>659</v>
      </c>
      <c r="E490" t="s">
        <v>659</v>
      </c>
      <c r="F490" t="s">
        <v>1047</v>
      </c>
      <c r="G490" t="s">
        <v>1047</v>
      </c>
      <c r="H490">
        <v>1</v>
      </c>
      <c r="I490">
        <v>1</v>
      </c>
      <c r="J490" t="s">
        <v>1371</v>
      </c>
      <c r="O490" t="s">
        <v>29</v>
      </c>
      <c r="P490">
        <v>22.75</v>
      </c>
    </row>
    <row r="491" spans="1:16" x14ac:dyDescent="0.25">
      <c r="A491" s="181">
        <v>20100</v>
      </c>
      <c r="B491" s="216" t="s">
        <v>660</v>
      </c>
      <c r="C491">
        <v>20100</v>
      </c>
      <c r="D491" t="s">
        <v>660</v>
      </c>
      <c r="E491" t="s">
        <v>660</v>
      </c>
      <c r="F491" t="s">
        <v>1047</v>
      </c>
      <c r="G491" t="s">
        <v>1047</v>
      </c>
      <c r="H491">
        <v>1</v>
      </c>
      <c r="I491">
        <v>1</v>
      </c>
      <c r="J491" t="s">
        <v>1371</v>
      </c>
      <c r="O491" t="s">
        <v>29</v>
      </c>
      <c r="P491">
        <v>2.58</v>
      </c>
    </row>
    <row r="492" spans="1:16" x14ac:dyDescent="0.25">
      <c r="A492" s="181">
        <v>20110</v>
      </c>
      <c r="B492" s="216" t="s">
        <v>661</v>
      </c>
      <c r="C492">
        <v>20110</v>
      </c>
      <c r="D492" t="s">
        <v>661</v>
      </c>
      <c r="E492" t="s">
        <v>661</v>
      </c>
      <c r="F492" t="s">
        <v>1047</v>
      </c>
      <c r="G492" t="s">
        <v>1047</v>
      </c>
      <c r="H492">
        <v>1</v>
      </c>
      <c r="I492">
        <v>1</v>
      </c>
      <c r="J492" t="s">
        <v>1371</v>
      </c>
      <c r="O492" t="s">
        <v>29</v>
      </c>
      <c r="P492">
        <v>2.58</v>
      </c>
    </row>
    <row r="493" spans="1:16" x14ac:dyDescent="0.25">
      <c r="A493" s="181">
        <v>20120</v>
      </c>
      <c r="B493" s="216" t="s">
        <v>662</v>
      </c>
      <c r="C493">
        <v>20120</v>
      </c>
      <c r="D493" t="s">
        <v>662</v>
      </c>
      <c r="E493" t="s">
        <v>662</v>
      </c>
      <c r="F493" t="s">
        <v>1047</v>
      </c>
      <c r="G493" t="s">
        <v>1047</v>
      </c>
      <c r="H493">
        <v>1</v>
      </c>
      <c r="I493">
        <v>1</v>
      </c>
      <c r="J493" t="s">
        <v>1371</v>
      </c>
      <c r="O493" t="s">
        <v>29</v>
      </c>
      <c r="P493">
        <v>1.87</v>
      </c>
    </row>
    <row r="494" spans="1:16" x14ac:dyDescent="0.25">
      <c r="A494" s="181">
        <v>20130</v>
      </c>
      <c r="B494" s="216" t="s">
        <v>436</v>
      </c>
      <c r="C494">
        <v>20130</v>
      </c>
      <c r="D494" t="s">
        <v>436</v>
      </c>
      <c r="E494" t="s">
        <v>436</v>
      </c>
      <c r="F494" t="s">
        <v>1047</v>
      </c>
      <c r="G494" t="s">
        <v>1047</v>
      </c>
      <c r="H494">
        <v>1</v>
      </c>
      <c r="I494">
        <v>1</v>
      </c>
      <c r="J494" t="s">
        <v>1371</v>
      </c>
      <c r="O494" t="s">
        <v>29</v>
      </c>
      <c r="P494">
        <v>0.83</v>
      </c>
    </row>
    <row r="495" spans="1:16" x14ac:dyDescent="0.25">
      <c r="A495" s="181">
        <v>20134</v>
      </c>
      <c r="B495" s="216" t="s">
        <v>433</v>
      </c>
      <c r="C495">
        <v>20134</v>
      </c>
      <c r="D495" t="s">
        <v>433</v>
      </c>
      <c r="E495" t="s">
        <v>433</v>
      </c>
      <c r="F495" t="s">
        <v>1047</v>
      </c>
      <c r="G495" t="s">
        <v>1047</v>
      </c>
      <c r="H495">
        <v>1</v>
      </c>
      <c r="I495">
        <v>1</v>
      </c>
      <c r="J495" t="s">
        <v>1371</v>
      </c>
      <c r="O495" t="s">
        <v>29</v>
      </c>
      <c r="P495">
        <v>32.549999999999997</v>
      </c>
    </row>
    <row r="496" spans="1:16" x14ac:dyDescent="0.25">
      <c r="A496" s="181">
        <v>20131</v>
      </c>
      <c r="B496" s="216" t="s">
        <v>663</v>
      </c>
      <c r="C496">
        <v>20131</v>
      </c>
      <c r="D496" t="s">
        <v>1442</v>
      </c>
      <c r="E496" t="s">
        <v>1442</v>
      </c>
      <c r="F496" t="s">
        <v>1047</v>
      </c>
      <c r="G496" t="s">
        <v>1047</v>
      </c>
      <c r="H496">
        <v>1</v>
      </c>
      <c r="I496">
        <v>1</v>
      </c>
      <c r="J496" t="s">
        <v>1371</v>
      </c>
      <c r="O496" t="s">
        <v>29</v>
      </c>
      <c r="P496">
        <v>6.47</v>
      </c>
    </row>
    <row r="497" spans="1:16" x14ac:dyDescent="0.25">
      <c r="A497" s="181">
        <v>20132</v>
      </c>
      <c r="B497" s="216" t="s">
        <v>434</v>
      </c>
      <c r="C497">
        <v>20132</v>
      </c>
      <c r="D497" t="s">
        <v>434</v>
      </c>
      <c r="E497" t="s">
        <v>434</v>
      </c>
      <c r="F497" t="s">
        <v>1047</v>
      </c>
      <c r="G497" t="s">
        <v>1047</v>
      </c>
      <c r="H497">
        <v>1</v>
      </c>
      <c r="I497">
        <v>1</v>
      </c>
      <c r="J497" t="s">
        <v>1371</v>
      </c>
      <c r="O497" t="s">
        <v>29</v>
      </c>
      <c r="P497">
        <v>8.6300000000000008</v>
      </c>
    </row>
    <row r="498" spans="1:16" x14ac:dyDescent="0.25">
      <c r="A498" s="181">
        <v>20133</v>
      </c>
      <c r="B498" s="216" t="s">
        <v>664</v>
      </c>
      <c r="C498">
        <v>20133</v>
      </c>
      <c r="D498" t="s">
        <v>664</v>
      </c>
      <c r="E498" t="s">
        <v>664</v>
      </c>
      <c r="F498" t="s">
        <v>1047</v>
      </c>
      <c r="G498" t="s">
        <v>1047</v>
      </c>
      <c r="H498">
        <v>1</v>
      </c>
      <c r="I498">
        <v>1</v>
      </c>
      <c r="J498" t="s">
        <v>1371</v>
      </c>
      <c r="O498" t="s">
        <v>29</v>
      </c>
      <c r="P498">
        <v>4.29</v>
      </c>
    </row>
    <row r="499" spans="1:16" x14ac:dyDescent="0.25">
      <c r="A499" s="181">
        <v>20250</v>
      </c>
      <c r="B499" s="217" t="s">
        <v>914</v>
      </c>
    </row>
    <row r="500" spans="1:16" x14ac:dyDescent="0.25">
      <c r="A500" s="181">
        <v>20260</v>
      </c>
      <c r="B500" s="216" t="s">
        <v>915</v>
      </c>
      <c r="C500">
        <v>20260</v>
      </c>
      <c r="D500" t="s">
        <v>1734</v>
      </c>
      <c r="E500" t="s">
        <v>1734</v>
      </c>
      <c r="F500" t="s">
        <v>1047</v>
      </c>
      <c r="G500" t="s">
        <v>1047</v>
      </c>
      <c r="H500">
        <v>1</v>
      </c>
      <c r="I500">
        <v>1</v>
      </c>
      <c r="J500" t="s">
        <v>1705</v>
      </c>
      <c r="O500" t="s">
        <v>29</v>
      </c>
      <c r="P500">
        <v>21</v>
      </c>
    </row>
    <row r="501" spans="1:16" x14ac:dyDescent="0.25">
      <c r="A501" s="181">
        <v>20270</v>
      </c>
      <c r="B501" s="216" t="s">
        <v>665</v>
      </c>
      <c r="C501">
        <v>20270</v>
      </c>
      <c r="D501" t="s">
        <v>1724</v>
      </c>
      <c r="E501" t="s">
        <v>1724</v>
      </c>
      <c r="F501" t="s">
        <v>1047</v>
      </c>
      <c r="G501" t="s">
        <v>1047</v>
      </c>
      <c r="H501">
        <v>1</v>
      </c>
      <c r="I501">
        <v>1</v>
      </c>
      <c r="J501" t="s">
        <v>1705</v>
      </c>
      <c r="O501" t="s">
        <v>29</v>
      </c>
      <c r="P501">
        <v>12.9</v>
      </c>
    </row>
    <row r="502" spans="1:16" x14ac:dyDescent="0.25">
      <c r="A502" s="181">
        <v>20280</v>
      </c>
      <c r="B502" s="216" t="s">
        <v>440</v>
      </c>
    </row>
    <row r="503" spans="1:16" x14ac:dyDescent="0.25">
      <c r="A503" s="181">
        <v>20290</v>
      </c>
      <c r="B503" s="216" t="s">
        <v>666</v>
      </c>
      <c r="C503">
        <v>20290</v>
      </c>
      <c r="D503" t="s">
        <v>666</v>
      </c>
      <c r="E503" t="s">
        <v>666</v>
      </c>
      <c r="F503" t="s">
        <v>1047</v>
      </c>
      <c r="G503" t="s">
        <v>1047</v>
      </c>
      <c r="H503">
        <v>1</v>
      </c>
      <c r="I503">
        <v>1</v>
      </c>
      <c r="J503" t="s">
        <v>1371</v>
      </c>
      <c r="O503" t="s">
        <v>29</v>
      </c>
      <c r="P503">
        <v>62</v>
      </c>
    </row>
    <row r="504" spans="1:16" x14ac:dyDescent="0.25">
      <c r="A504" s="181">
        <v>20310</v>
      </c>
      <c r="B504" s="216" t="s">
        <v>667</v>
      </c>
      <c r="C504">
        <v>20310</v>
      </c>
      <c r="D504" t="s">
        <v>667</v>
      </c>
      <c r="E504" t="s">
        <v>667</v>
      </c>
      <c r="F504" t="s">
        <v>1047</v>
      </c>
      <c r="G504" t="s">
        <v>1047</v>
      </c>
      <c r="H504">
        <v>1</v>
      </c>
      <c r="I504">
        <v>1</v>
      </c>
      <c r="J504" t="s">
        <v>1705</v>
      </c>
      <c r="O504" t="s">
        <v>29</v>
      </c>
      <c r="P504">
        <v>47.93</v>
      </c>
    </row>
    <row r="505" spans="1:16" x14ac:dyDescent="0.25">
      <c r="A505" s="181">
        <v>20320</v>
      </c>
      <c r="B505" s="216" t="s">
        <v>668</v>
      </c>
      <c r="C505">
        <v>20320</v>
      </c>
      <c r="D505" t="s">
        <v>668</v>
      </c>
      <c r="E505" t="s">
        <v>668</v>
      </c>
      <c r="F505" t="s">
        <v>1047</v>
      </c>
      <c r="G505" t="s">
        <v>1047</v>
      </c>
      <c r="H505">
        <v>1</v>
      </c>
      <c r="I505">
        <v>1</v>
      </c>
      <c r="J505" t="s">
        <v>1581</v>
      </c>
      <c r="O505" t="s">
        <v>29</v>
      </c>
      <c r="P505">
        <v>32.950000000000003</v>
      </c>
    </row>
    <row r="506" spans="1:16" x14ac:dyDescent="0.25">
      <c r="A506" s="181">
        <v>20330</v>
      </c>
      <c r="B506" s="216" t="s">
        <v>669</v>
      </c>
    </row>
    <row r="507" spans="1:16" x14ac:dyDescent="0.25">
      <c r="A507" s="181">
        <v>21000</v>
      </c>
      <c r="B507" s="216" t="s">
        <v>673</v>
      </c>
      <c r="C507">
        <v>21000</v>
      </c>
      <c r="D507" t="s">
        <v>1479</v>
      </c>
      <c r="E507" t="s">
        <v>1479</v>
      </c>
      <c r="F507" t="s">
        <v>1047</v>
      </c>
      <c r="G507" t="s">
        <v>1047</v>
      </c>
      <c r="H507">
        <v>1</v>
      </c>
      <c r="I507">
        <v>1</v>
      </c>
      <c r="J507" t="s">
        <v>1371</v>
      </c>
      <c r="O507" t="s">
        <v>29</v>
      </c>
      <c r="P507">
        <v>6.7</v>
      </c>
    </row>
    <row r="508" spans="1:16" x14ac:dyDescent="0.25">
      <c r="A508" s="181">
        <v>21010</v>
      </c>
      <c r="B508" s="216" t="s">
        <v>674</v>
      </c>
      <c r="C508">
        <v>21010</v>
      </c>
      <c r="D508" t="s">
        <v>674</v>
      </c>
      <c r="E508" t="s">
        <v>674</v>
      </c>
      <c r="F508" t="s">
        <v>1047</v>
      </c>
      <c r="G508" t="s">
        <v>1047</v>
      </c>
      <c r="H508">
        <v>1</v>
      </c>
      <c r="I508">
        <v>1</v>
      </c>
      <c r="J508" t="s">
        <v>1371</v>
      </c>
      <c r="O508" t="s">
        <v>29</v>
      </c>
      <c r="P508">
        <v>12.88</v>
      </c>
    </row>
    <row r="509" spans="1:16" x14ac:dyDescent="0.25">
      <c r="A509" s="181">
        <v>21020</v>
      </c>
      <c r="B509" s="216" t="s">
        <v>675</v>
      </c>
      <c r="C509">
        <v>21020</v>
      </c>
      <c r="D509" t="s">
        <v>675</v>
      </c>
      <c r="E509" t="s">
        <v>675</v>
      </c>
      <c r="F509" t="s">
        <v>1047</v>
      </c>
      <c r="G509" t="s">
        <v>1047</v>
      </c>
      <c r="H509">
        <v>1</v>
      </c>
      <c r="I509">
        <v>1</v>
      </c>
      <c r="J509" t="s">
        <v>1705</v>
      </c>
      <c r="O509" t="s">
        <v>29</v>
      </c>
      <c r="P509">
        <v>11.95</v>
      </c>
    </row>
    <row r="510" spans="1:16" x14ac:dyDescent="0.25">
      <c r="A510" s="181">
        <v>21030</v>
      </c>
      <c r="B510" s="216" t="s">
        <v>676</v>
      </c>
      <c r="C510">
        <v>21030</v>
      </c>
      <c r="D510" t="s">
        <v>676</v>
      </c>
      <c r="E510" t="s">
        <v>676</v>
      </c>
      <c r="F510" t="s">
        <v>1047</v>
      </c>
      <c r="G510" t="s">
        <v>1047</v>
      </c>
      <c r="H510">
        <v>1</v>
      </c>
      <c r="I510">
        <v>1</v>
      </c>
      <c r="J510" t="s">
        <v>1705</v>
      </c>
      <c r="O510" t="s">
        <v>29</v>
      </c>
      <c r="P510">
        <v>27.08</v>
      </c>
    </row>
    <row r="511" spans="1:16" x14ac:dyDescent="0.25">
      <c r="A511" s="181">
        <v>21040</v>
      </c>
      <c r="B511" s="216" t="s">
        <v>677</v>
      </c>
      <c r="C511">
        <v>21040</v>
      </c>
      <c r="D511" t="s">
        <v>677</v>
      </c>
      <c r="E511" t="s">
        <v>677</v>
      </c>
      <c r="F511" t="s">
        <v>1047</v>
      </c>
      <c r="G511" t="s">
        <v>1047</v>
      </c>
      <c r="H511">
        <v>1</v>
      </c>
      <c r="I511">
        <v>1</v>
      </c>
      <c r="J511" t="s">
        <v>1371</v>
      </c>
      <c r="O511" t="s">
        <v>29</v>
      </c>
      <c r="P511">
        <v>49.95</v>
      </c>
    </row>
    <row r="512" spans="1:16" x14ac:dyDescent="0.25">
      <c r="A512" s="181">
        <v>21050</v>
      </c>
      <c r="B512" s="216" t="s">
        <v>678</v>
      </c>
      <c r="C512">
        <v>21050</v>
      </c>
      <c r="D512" t="s">
        <v>1727</v>
      </c>
      <c r="E512" t="s">
        <v>1727</v>
      </c>
      <c r="F512" t="s">
        <v>1047</v>
      </c>
      <c r="G512" t="s">
        <v>1047</v>
      </c>
      <c r="H512">
        <v>1</v>
      </c>
      <c r="I512">
        <v>1</v>
      </c>
      <c r="J512" t="s">
        <v>1705</v>
      </c>
      <c r="O512" t="s">
        <v>29</v>
      </c>
      <c r="P512">
        <v>0</v>
      </c>
    </row>
    <row r="513" spans="1:30" x14ac:dyDescent="0.25">
      <c r="A513" s="181">
        <v>21055</v>
      </c>
      <c r="B513" s="216" t="s">
        <v>679</v>
      </c>
      <c r="C513">
        <v>21055</v>
      </c>
      <c r="D513" t="s">
        <v>679</v>
      </c>
      <c r="E513" t="s">
        <v>679</v>
      </c>
      <c r="F513" t="s">
        <v>1047</v>
      </c>
      <c r="G513" t="s">
        <v>1047</v>
      </c>
      <c r="H513">
        <v>1</v>
      </c>
      <c r="I513">
        <v>1</v>
      </c>
      <c r="J513" t="s">
        <v>1371</v>
      </c>
      <c r="O513" t="s">
        <v>29</v>
      </c>
      <c r="P513">
        <v>30.75</v>
      </c>
    </row>
    <row r="514" spans="1:30" x14ac:dyDescent="0.25">
      <c r="A514" s="181">
        <v>21060</v>
      </c>
      <c r="B514" s="216" t="s">
        <v>680</v>
      </c>
      <c r="C514">
        <v>21060</v>
      </c>
      <c r="D514" t="s">
        <v>1476</v>
      </c>
      <c r="E514" t="s">
        <v>1476</v>
      </c>
      <c r="F514" t="s">
        <v>1047</v>
      </c>
      <c r="G514" t="s">
        <v>1047</v>
      </c>
      <c r="H514">
        <v>1</v>
      </c>
      <c r="I514">
        <v>1</v>
      </c>
      <c r="J514" t="s">
        <v>1371</v>
      </c>
      <c r="O514" t="s">
        <v>29</v>
      </c>
      <c r="P514">
        <v>10.82</v>
      </c>
    </row>
    <row r="515" spans="1:30" x14ac:dyDescent="0.25">
      <c r="A515" s="181">
        <v>21070</v>
      </c>
      <c r="B515" s="216" t="s">
        <v>681</v>
      </c>
      <c r="C515">
        <v>21070</v>
      </c>
      <c r="D515" t="s">
        <v>681</v>
      </c>
      <c r="E515" t="s">
        <v>681</v>
      </c>
      <c r="F515" t="s">
        <v>1047</v>
      </c>
      <c r="G515" t="s">
        <v>1047</v>
      </c>
      <c r="H515">
        <v>1</v>
      </c>
      <c r="I515">
        <v>1</v>
      </c>
      <c r="J515" t="s">
        <v>1705</v>
      </c>
      <c r="O515" t="s">
        <v>29</v>
      </c>
      <c r="P515">
        <v>39.659999999999997</v>
      </c>
    </row>
    <row r="516" spans="1:30" x14ac:dyDescent="0.25">
      <c r="A516" s="181">
        <v>21075</v>
      </c>
      <c r="B516" s="216" t="s">
        <v>917</v>
      </c>
      <c r="C516">
        <v>21075</v>
      </c>
      <c r="D516" t="s">
        <v>1482</v>
      </c>
      <c r="E516" t="s">
        <v>1482</v>
      </c>
      <c r="F516" t="s">
        <v>1047</v>
      </c>
      <c r="G516" t="s">
        <v>1047</v>
      </c>
      <c r="H516">
        <v>1</v>
      </c>
      <c r="I516">
        <v>1</v>
      </c>
      <c r="J516" t="s">
        <v>1371</v>
      </c>
      <c r="O516" t="s">
        <v>29</v>
      </c>
      <c r="P516">
        <v>103.56</v>
      </c>
    </row>
    <row r="517" spans="1:30" x14ac:dyDescent="0.25">
      <c r="A517" s="181">
        <v>21080</v>
      </c>
      <c r="B517" s="216" t="s">
        <v>916</v>
      </c>
      <c r="C517">
        <v>21080</v>
      </c>
      <c r="D517" t="s">
        <v>916</v>
      </c>
      <c r="E517" t="s">
        <v>916</v>
      </c>
      <c r="F517" t="s">
        <v>1047</v>
      </c>
      <c r="G517" t="s">
        <v>1047</v>
      </c>
      <c r="H517">
        <v>1</v>
      </c>
      <c r="I517">
        <v>1</v>
      </c>
      <c r="J517" t="s">
        <v>1371</v>
      </c>
      <c r="O517" t="s">
        <v>29</v>
      </c>
      <c r="P517">
        <v>91.5</v>
      </c>
    </row>
    <row r="518" spans="1:30" x14ac:dyDescent="0.25">
      <c r="A518" s="181">
        <v>21090</v>
      </c>
      <c r="B518" s="216" t="s">
        <v>682</v>
      </c>
      <c r="C518">
        <v>21090</v>
      </c>
      <c r="D518" t="s">
        <v>682</v>
      </c>
      <c r="E518" t="s">
        <v>682</v>
      </c>
      <c r="F518" t="s">
        <v>1047</v>
      </c>
      <c r="G518" t="s">
        <v>1047</v>
      </c>
      <c r="H518">
        <v>1</v>
      </c>
      <c r="I518">
        <v>1</v>
      </c>
      <c r="J518" t="s">
        <v>1371</v>
      </c>
      <c r="O518" t="s">
        <v>29</v>
      </c>
      <c r="P518">
        <v>114.48</v>
      </c>
    </row>
    <row r="519" spans="1:30" x14ac:dyDescent="0.25">
      <c r="A519">
        <v>21091</v>
      </c>
      <c r="B519" t="s">
        <v>1726</v>
      </c>
      <c r="C519">
        <v>21091</v>
      </c>
      <c r="D519" t="s">
        <v>1726</v>
      </c>
      <c r="E519" t="s">
        <v>1726</v>
      </c>
      <c r="F519" t="s">
        <v>1047</v>
      </c>
      <c r="G519" t="s">
        <v>1047</v>
      </c>
      <c r="H519">
        <v>1</v>
      </c>
      <c r="I519">
        <v>1</v>
      </c>
      <c r="J519" t="s">
        <v>1705</v>
      </c>
      <c r="O519" t="s">
        <v>29</v>
      </c>
      <c r="P519">
        <v>0</v>
      </c>
    </row>
    <row r="520" spans="1:30" x14ac:dyDescent="0.25">
      <c r="A520" s="181">
        <v>21100</v>
      </c>
      <c r="B520" s="216" t="s">
        <v>918</v>
      </c>
      <c r="C520">
        <v>21100</v>
      </c>
      <c r="D520" t="s">
        <v>1493</v>
      </c>
      <c r="E520" t="s">
        <v>1493</v>
      </c>
      <c r="F520" t="s">
        <v>1047</v>
      </c>
      <c r="G520" t="s">
        <v>1047</v>
      </c>
      <c r="H520">
        <v>1</v>
      </c>
      <c r="I520">
        <v>1</v>
      </c>
      <c r="J520" t="s">
        <v>1371</v>
      </c>
      <c r="O520" t="s">
        <v>29</v>
      </c>
      <c r="P520">
        <v>81.5</v>
      </c>
    </row>
    <row r="521" spans="1:30" x14ac:dyDescent="0.25">
      <c r="A521" s="181">
        <v>21110</v>
      </c>
      <c r="B521" s="216" t="s">
        <v>683</v>
      </c>
      <c r="C521">
        <v>21110</v>
      </c>
      <c r="D521" t="s">
        <v>683</v>
      </c>
      <c r="E521" t="s">
        <v>683</v>
      </c>
      <c r="F521" t="s">
        <v>1047</v>
      </c>
      <c r="G521" t="s">
        <v>1047</v>
      </c>
      <c r="H521">
        <v>1</v>
      </c>
      <c r="I521">
        <v>1</v>
      </c>
      <c r="J521" t="s">
        <v>1371</v>
      </c>
      <c r="O521" t="s">
        <v>29</v>
      </c>
      <c r="P521">
        <v>20.75</v>
      </c>
    </row>
    <row r="522" spans="1:30" x14ac:dyDescent="0.25">
      <c r="A522">
        <v>21115</v>
      </c>
      <c r="B522" t="s">
        <v>1494</v>
      </c>
      <c r="C522">
        <v>21115</v>
      </c>
      <c r="D522" t="s">
        <v>1494</v>
      </c>
      <c r="E522" t="s">
        <v>1494</v>
      </c>
      <c r="F522" t="s">
        <v>175</v>
      </c>
      <c r="G522" t="s">
        <v>1047</v>
      </c>
      <c r="H522">
        <v>1</v>
      </c>
      <c r="I522">
        <v>1</v>
      </c>
      <c r="J522" t="s">
        <v>1371</v>
      </c>
      <c r="O522" t="s">
        <v>29</v>
      </c>
      <c r="P522">
        <v>193.75</v>
      </c>
      <c r="AD522">
        <v>21115</v>
      </c>
    </row>
    <row r="523" spans="1:30" x14ac:dyDescent="0.25">
      <c r="A523" s="181">
        <v>21120</v>
      </c>
      <c r="B523" s="216" t="s">
        <v>684</v>
      </c>
      <c r="C523">
        <v>21120</v>
      </c>
      <c r="D523" t="s">
        <v>684</v>
      </c>
      <c r="E523" t="s">
        <v>684</v>
      </c>
      <c r="F523" t="s">
        <v>1047</v>
      </c>
      <c r="G523" t="s">
        <v>1047</v>
      </c>
      <c r="H523">
        <v>1</v>
      </c>
      <c r="I523">
        <v>1</v>
      </c>
      <c r="J523" t="s">
        <v>1705</v>
      </c>
      <c r="O523" t="s">
        <v>29</v>
      </c>
      <c r="P523">
        <v>157.03</v>
      </c>
    </row>
    <row r="524" spans="1:30" x14ac:dyDescent="0.25">
      <c r="A524" s="181">
        <v>21130</v>
      </c>
      <c r="B524" s="216" t="s">
        <v>919</v>
      </c>
      <c r="C524">
        <v>21130</v>
      </c>
      <c r="D524" t="s">
        <v>919</v>
      </c>
      <c r="E524" t="s">
        <v>919</v>
      </c>
      <c r="F524" t="s">
        <v>1047</v>
      </c>
      <c r="G524" t="s">
        <v>1047</v>
      </c>
      <c r="H524">
        <v>1</v>
      </c>
      <c r="I524">
        <v>1</v>
      </c>
      <c r="J524" t="s">
        <v>1705</v>
      </c>
      <c r="O524" t="s">
        <v>29</v>
      </c>
      <c r="P524">
        <v>192.06</v>
      </c>
    </row>
    <row r="525" spans="1:30" x14ac:dyDescent="0.25">
      <c r="A525" s="181">
        <v>21135</v>
      </c>
      <c r="B525" s="216" t="s">
        <v>685</v>
      </c>
      <c r="C525">
        <v>21135</v>
      </c>
      <c r="D525" t="s">
        <v>685</v>
      </c>
      <c r="E525" t="s">
        <v>685</v>
      </c>
      <c r="F525" t="s">
        <v>1047</v>
      </c>
      <c r="G525" t="s">
        <v>1047</v>
      </c>
      <c r="H525">
        <v>1</v>
      </c>
      <c r="I525">
        <v>1</v>
      </c>
      <c r="J525" t="s">
        <v>1705</v>
      </c>
      <c r="O525" t="s">
        <v>29</v>
      </c>
      <c r="P525">
        <v>60</v>
      </c>
    </row>
    <row r="526" spans="1:30" x14ac:dyDescent="0.25">
      <c r="A526" s="181">
        <v>22000</v>
      </c>
      <c r="B526" s="216" t="s">
        <v>686</v>
      </c>
    </row>
    <row r="527" spans="1:30" x14ac:dyDescent="0.25">
      <c r="A527" s="181">
        <v>22010</v>
      </c>
      <c r="B527" s="216" t="s">
        <v>441</v>
      </c>
    </row>
    <row r="528" spans="1:30" x14ac:dyDescent="0.25">
      <c r="A528" s="181">
        <v>22020</v>
      </c>
      <c r="B528" s="216" t="s">
        <v>687</v>
      </c>
      <c r="C528">
        <v>22020</v>
      </c>
      <c r="D528" t="s">
        <v>1462</v>
      </c>
      <c r="E528" t="s">
        <v>1462</v>
      </c>
      <c r="F528" t="s">
        <v>1047</v>
      </c>
      <c r="G528" t="s">
        <v>1047</v>
      </c>
      <c r="H528">
        <v>1</v>
      </c>
      <c r="I528">
        <v>1</v>
      </c>
      <c r="J528" t="s">
        <v>1371</v>
      </c>
      <c r="O528" t="s">
        <v>29</v>
      </c>
      <c r="P528">
        <v>104.4</v>
      </c>
    </row>
    <row r="529" spans="1:16" x14ac:dyDescent="0.25">
      <c r="A529" s="181">
        <v>22030</v>
      </c>
      <c r="B529" s="216" t="s">
        <v>688</v>
      </c>
      <c r="C529">
        <v>22030</v>
      </c>
      <c r="D529" t="s">
        <v>1471</v>
      </c>
      <c r="E529" t="s">
        <v>1471</v>
      </c>
      <c r="F529" t="s">
        <v>1047</v>
      </c>
      <c r="G529" t="s">
        <v>1047</v>
      </c>
      <c r="H529">
        <v>1</v>
      </c>
      <c r="I529">
        <v>1</v>
      </c>
      <c r="J529" t="s">
        <v>1371</v>
      </c>
      <c r="O529" t="s">
        <v>29</v>
      </c>
      <c r="P529">
        <v>157.03</v>
      </c>
    </row>
    <row r="530" spans="1:16" x14ac:dyDescent="0.25">
      <c r="A530" s="181">
        <v>22040</v>
      </c>
      <c r="B530" s="216" t="s">
        <v>689</v>
      </c>
      <c r="C530">
        <v>22040</v>
      </c>
      <c r="D530" t="s">
        <v>1379</v>
      </c>
      <c r="E530" t="s">
        <v>1379</v>
      </c>
      <c r="F530" t="s">
        <v>1047</v>
      </c>
      <c r="G530" t="s">
        <v>1047</v>
      </c>
      <c r="H530">
        <v>1</v>
      </c>
      <c r="I530">
        <v>1</v>
      </c>
      <c r="J530" t="s">
        <v>1371</v>
      </c>
      <c r="O530" t="s">
        <v>29</v>
      </c>
      <c r="P530">
        <v>111</v>
      </c>
    </row>
    <row r="531" spans="1:16" x14ac:dyDescent="0.25">
      <c r="A531" s="181">
        <v>22050</v>
      </c>
      <c r="B531" s="216" t="s">
        <v>690</v>
      </c>
      <c r="C531">
        <v>22050</v>
      </c>
      <c r="D531" t="s">
        <v>1391</v>
      </c>
      <c r="E531" t="s">
        <v>1391</v>
      </c>
      <c r="F531" t="s">
        <v>1047</v>
      </c>
      <c r="G531" t="s">
        <v>1047</v>
      </c>
      <c r="H531">
        <v>1</v>
      </c>
      <c r="I531">
        <v>1</v>
      </c>
      <c r="J531" t="s">
        <v>1371</v>
      </c>
      <c r="O531" t="s">
        <v>29</v>
      </c>
      <c r="P531">
        <v>116.1</v>
      </c>
    </row>
    <row r="532" spans="1:16" x14ac:dyDescent="0.25">
      <c r="A532" s="181">
        <v>22060</v>
      </c>
      <c r="B532" s="216" t="s">
        <v>691</v>
      </c>
      <c r="C532">
        <v>22060</v>
      </c>
      <c r="D532" t="s">
        <v>1399</v>
      </c>
      <c r="E532" t="s">
        <v>1399</v>
      </c>
      <c r="F532" t="s">
        <v>1047</v>
      </c>
      <c r="G532" t="s">
        <v>1047</v>
      </c>
      <c r="H532">
        <v>1</v>
      </c>
      <c r="I532">
        <v>1</v>
      </c>
      <c r="J532" t="s">
        <v>1371</v>
      </c>
      <c r="O532" t="s">
        <v>29</v>
      </c>
      <c r="P532">
        <v>128.15</v>
      </c>
    </row>
    <row r="533" spans="1:16" x14ac:dyDescent="0.25">
      <c r="A533" s="181">
        <v>22070</v>
      </c>
      <c r="B533" s="216" t="s">
        <v>692</v>
      </c>
      <c r="C533">
        <v>22070</v>
      </c>
      <c r="D533" t="s">
        <v>1409</v>
      </c>
      <c r="E533" t="s">
        <v>1409</v>
      </c>
      <c r="F533" t="s">
        <v>1047</v>
      </c>
      <c r="G533" t="s">
        <v>1047</v>
      </c>
      <c r="H533">
        <v>1</v>
      </c>
      <c r="I533">
        <v>1</v>
      </c>
      <c r="J533" t="s">
        <v>1371</v>
      </c>
      <c r="O533" t="s">
        <v>29</v>
      </c>
      <c r="P533">
        <v>152</v>
      </c>
    </row>
    <row r="534" spans="1:16" x14ac:dyDescent="0.25">
      <c r="A534" s="181">
        <v>22080</v>
      </c>
      <c r="B534" s="216" t="s">
        <v>693</v>
      </c>
    </row>
    <row r="535" spans="1:16" x14ac:dyDescent="0.25">
      <c r="A535" s="181">
        <v>22090</v>
      </c>
      <c r="B535" s="216" t="s">
        <v>694</v>
      </c>
      <c r="C535">
        <v>22090</v>
      </c>
      <c r="D535" t="s">
        <v>1382</v>
      </c>
      <c r="E535" t="s">
        <v>1382</v>
      </c>
      <c r="F535" t="s">
        <v>1047</v>
      </c>
      <c r="G535" t="s">
        <v>1047</v>
      </c>
      <c r="H535">
        <v>1</v>
      </c>
      <c r="I535">
        <v>1</v>
      </c>
      <c r="J535" t="s">
        <v>1371</v>
      </c>
      <c r="O535" t="s">
        <v>29</v>
      </c>
      <c r="P535">
        <v>90.1</v>
      </c>
    </row>
    <row r="536" spans="1:16" x14ac:dyDescent="0.25">
      <c r="A536" s="181">
        <v>22100</v>
      </c>
      <c r="B536" s="216" t="s">
        <v>695</v>
      </c>
      <c r="C536">
        <v>22100</v>
      </c>
      <c r="D536" t="s">
        <v>1394</v>
      </c>
      <c r="E536" t="s">
        <v>1394</v>
      </c>
      <c r="F536" t="s">
        <v>1047</v>
      </c>
      <c r="G536" t="s">
        <v>1047</v>
      </c>
      <c r="H536">
        <v>1</v>
      </c>
      <c r="I536">
        <v>1</v>
      </c>
      <c r="J536" t="s">
        <v>1371</v>
      </c>
      <c r="O536" t="s">
        <v>29</v>
      </c>
      <c r="P536">
        <v>92.2</v>
      </c>
    </row>
    <row r="537" spans="1:16" x14ac:dyDescent="0.25">
      <c r="A537" s="181">
        <v>22110</v>
      </c>
      <c r="B537" s="218" t="s">
        <v>696</v>
      </c>
      <c r="C537">
        <v>22110</v>
      </c>
      <c r="D537" t="s">
        <v>1737</v>
      </c>
      <c r="E537" t="s">
        <v>1737</v>
      </c>
      <c r="F537" t="s">
        <v>1047</v>
      </c>
      <c r="G537" t="s">
        <v>1047</v>
      </c>
      <c r="H537">
        <v>1</v>
      </c>
      <c r="I537">
        <v>1</v>
      </c>
      <c r="J537" t="s">
        <v>1705</v>
      </c>
      <c r="O537" t="s">
        <v>29</v>
      </c>
      <c r="P537">
        <v>43.55</v>
      </c>
    </row>
    <row r="538" spans="1:16" x14ac:dyDescent="0.25">
      <c r="A538" s="181">
        <v>22120</v>
      </c>
      <c r="B538" s="216" t="s">
        <v>697</v>
      </c>
      <c r="C538">
        <v>22120</v>
      </c>
      <c r="D538" t="s">
        <v>1738</v>
      </c>
      <c r="E538" t="s">
        <v>1738</v>
      </c>
      <c r="F538" t="s">
        <v>1047</v>
      </c>
      <c r="G538" t="s">
        <v>1047</v>
      </c>
      <c r="H538">
        <v>1</v>
      </c>
      <c r="I538">
        <v>1</v>
      </c>
      <c r="J538" t="s">
        <v>1705</v>
      </c>
      <c r="O538" t="s">
        <v>29</v>
      </c>
      <c r="P538">
        <v>89.54</v>
      </c>
    </row>
    <row r="539" spans="1:16" x14ac:dyDescent="0.25">
      <c r="A539" s="181">
        <v>22130</v>
      </c>
      <c r="B539" s="216" t="s">
        <v>698</v>
      </c>
    </row>
    <row r="540" spans="1:16" x14ac:dyDescent="0.25">
      <c r="A540" s="181">
        <v>22140</v>
      </c>
      <c r="B540" s="216" t="s">
        <v>699</v>
      </c>
      <c r="C540">
        <v>22140</v>
      </c>
      <c r="D540" t="s">
        <v>1739</v>
      </c>
      <c r="E540" t="s">
        <v>1739</v>
      </c>
      <c r="F540" t="s">
        <v>1047</v>
      </c>
      <c r="G540" t="s">
        <v>1047</v>
      </c>
      <c r="H540">
        <v>1</v>
      </c>
      <c r="I540">
        <v>1</v>
      </c>
      <c r="J540" t="s">
        <v>1705</v>
      </c>
      <c r="O540" t="s">
        <v>29</v>
      </c>
      <c r="P540">
        <v>137.29</v>
      </c>
    </row>
    <row r="541" spans="1:16" x14ac:dyDescent="0.25">
      <c r="A541" s="181">
        <v>22150</v>
      </c>
      <c r="B541" s="216" t="s">
        <v>700</v>
      </c>
      <c r="C541">
        <v>22150</v>
      </c>
      <c r="D541" t="s">
        <v>1736</v>
      </c>
      <c r="E541" t="s">
        <v>1736</v>
      </c>
      <c r="F541" t="s">
        <v>1047</v>
      </c>
      <c r="G541" t="s">
        <v>1047</v>
      </c>
      <c r="H541">
        <v>1</v>
      </c>
      <c r="I541">
        <v>1</v>
      </c>
      <c r="J541" t="s">
        <v>1705</v>
      </c>
      <c r="O541" t="s">
        <v>29</v>
      </c>
      <c r="P541">
        <v>204.37</v>
      </c>
    </row>
    <row r="542" spans="1:16" x14ac:dyDescent="0.25">
      <c r="A542" s="181">
        <v>22160</v>
      </c>
      <c r="B542" s="216" t="s">
        <v>701</v>
      </c>
      <c r="C542">
        <v>22160</v>
      </c>
      <c r="D542" t="s">
        <v>1735</v>
      </c>
      <c r="E542" t="s">
        <v>1735</v>
      </c>
      <c r="F542" t="s">
        <v>1047</v>
      </c>
      <c r="G542" t="s">
        <v>1047</v>
      </c>
      <c r="H542">
        <v>1</v>
      </c>
      <c r="I542">
        <v>1</v>
      </c>
      <c r="J542" t="s">
        <v>1705</v>
      </c>
      <c r="O542" t="s">
        <v>29</v>
      </c>
      <c r="P542">
        <v>235</v>
      </c>
    </row>
    <row r="543" spans="1:16" x14ac:dyDescent="0.25">
      <c r="A543" s="181">
        <v>22170</v>
      </c>
      <c r="B543" s="216" t="s">
        <v>703</v>
      </c>
      <c r="C543">
        <v>22170</v>
      </c>
      <c r="D543" t="s">
        <v>1732</v>
      </c>
      <c r="E543" t="s">
        <v>1732</v>
      </c>
      <c r="F543" t="s">
        <v>1047</v>
      </c>
      <c r="G543" t="s">
        <v>1047</v>
      </c>
      <c r="H543">
        <v>1</v>
      </c>
      <c r="I543">
        <v>1</v>
      </c>
      <c r="J543" t="s">
        <v>1705</v>
      </c>
      <c r="O543" t="s">
        <v>29</v>
      </c>
      <c r="P543">
        <v>111.53</v>
      </c>
    </row>
    <row r="544" spans="1:16" x14ac:dyDescent="0.25">
      <c r="A544" s="181">
        <v>22175</v>
      </c>
      <c r="B544" s="216" t="s">
        <v>704</v>
      </c>
      <c r="C544">
        <v>22175</v>
      </c>
      <c r="D544" t="s">
        <v>704</v>
      </c>
      <c r="E544" t="s">
        <v>704</v>
      </c>
      <c r="F544" t="s">
        <v>1047</v>
      </c>
      <c r="G544" t="s">
        <v>1047</v>
      </c>
      <c r="H544">
        <v>1</v>
      </c>
      <c r="I544">
        <v>1</v>
      </c>
      <c r="J544" t="s">
        <v>1705</v>
      </c>
      <c r="O544" t="s">
        <v>29</v>
      </c>
      <c r="P544">
        <v>215</v>
      </c>
    </row>
    <row r="545" spans="1:16" x14ac:dyDescent="0.25">
      <c r="A545" s="181">
        <v>22340</v>
      </c>
      <c r="B545" s="216" t="s">
        <v>442</v>
      </c>
    </row>
    <row r="546" spans="1:16" x14ac:dyDescent="0.25">
      <c r="A546" s="181">
        <v>22350</v>
      </c>
      <c r="B546" s="216" t="s">
        <v>443</v>
      </c>
    </row>
    <row r="547" spans="1:16" x14ac:dyDescent="0.25">
      <c r="A547" s="181">
        <v>22360</v>
      </c>
      <c r="B547" s="216" t="s">
        <v>444</v>
      </c>
    </row>
    <row r="548" spans="1:16" x14ac:dyDescent="0.25">
      <c r="A548" s="181">
        <v>22365</v>
      </c>
      <c r="B548" s="216" t="s">
        <v>705</v>
      </c>
      <c r="C548">
        <v>22365</v>
      </c>
      <c r="D548" t="s">
        <v>705</v>
      </c>
      <c r="E548" t="s">
        <v>705</v>
      </c>
      <c r="F548" t="s">
        <v>1047</v>
      </c>
      <c r="G548" t="s">
        <v>1047</v>
      </c>
      <c r="H548">
        <v>1</v>
      </c>
      <c r="I548">
        <v>1</v>
      </c>
      <c r="J548" t="s">
        <v>1371</v>
      </c>
      <c r="O548" t="s">
        <v>29</v>
      </c>
      <c r="P548">
        <v>291.39</v>
      </c>
    </row>
    <row r="549" spans="1:16" x14ac:dyDescent="0.25">
      <c r="A549" s="181">
        <v>22371</v>
      </c>
      <c r="B549" s="216" t="s">
        <v>920</v>
      </c>
      <c r="C549">
        <v>22371</v>
      </c>
      <c r="D549" t="s">
        <v>1477</v>
      </c>
      <c r="E549" t="s">
        <v>1477</v>
      </c>
      <c r="F549" t="s">
        <v>1047</v>
      </c>
      <c r="G549" t="s">
        <v>1047</v>
      </c>
      <c r="H549">
        <v>1</v>
      </c>
      <c r="I549">
        <v>1</v>
      </c>
      <c r="J549" t="s">
        <v>1371</v>
      </c>
      <c r="O549" t="s">
        <v>29</v>
      </c>
      <c r="P549">
        <v>1291.73</v>
      </c>
    </row>
    <row r="550" spans="1:16" x14ac:dyDescent="0.25">
      <c r="A550">
        <v>22375</v>
      </c>
      <c r="B550" t="s">
        <v>1478</v>
      </c>
      <c r="C550">
        <v>22375</v>
      </c>
      <c r="D550" t="s">
        <v>1478</v>
      </c>
      <c r="E550" t="s">
        <v>1478</v>
      </c>
      <c r="F550" t="s">
        <v>1047</v>
      </c>
      <c r="G550" t="s">
        <v>1047</v>
      </c>
      <c r="H550">
        <v>1</v>
      </c>
      <c r="I550">
        <v>1</v>
      </c>
      <c r="J550" t="s">
        <v>1371</v>
      </c>
      <c r="O550" t="s">
        <v>29</v>
      </c>
      <c r="P550">
        <v>1592.99</v>
      </c>
    </row>
    <row r="551" spans="1:16" x14ac:dyDescent="0.25">
      <c r="A551" s="181">
        <v>22380</v>
      </c>
      <c r="B551" s="216" t="s">
        <v>921</v>
      </c>
      <c r="C551">
        <v>22380</v>
      </c>
      <c r="D551" t="s">
        <v>921</v>
      </c>
      <c r="E551" t="s">
        <v>921</v>
      </c>
      <c r="F551" t="s">
        <v>1047</v>
      </c>
      <c r="G551" t="s">
        <v>1047</v>
      </c>
      <c r="H551">
        <v>1</v>
      </c>
      <c r="I551">
        <v>1</v>
      </c>
      <c r="J551" t="s">
        <v>1371</v>
      </c>
      <c r="O551" t="s">
        <v>29</v>
      </c>
      <c r="P551">
        <v>125.68</v>
      </c>
    </row>
    <row r="552" spans="1:16" x14ac:dyDescent="0.25">
      <c r="A552" s="181">
        <v>22390</v>
      </c>
      <c r="B552" s="216" t="s">
        <v>922</v>
      </c>
      <c r="C552">
        <v>22390</v>
      </c>
      <c r="D552" t="s">
        <v>1484</v>
      </c>
      <c r="E552" t="s">
        <v>1484</v>
      </c>
      <c r="F552" t="s">
        <v>1047</v>
      </c>
      <c r="G552" t="s">
        <v>1047</v>
      </c>
      <c r="H552">
        <v>1</v>
      </c>
      <c r="I552">
        <v>1</v>
      </c>
      <c r="J552" t="s">
        <v>1371</v>
      </c>
      <c r="O552" t="s">
        <v>29</v>
      </c>
      <c r="P552">
        <v>94.63</v>
      </c>
    </row>
    <row r="553" spans="1:16" x14ac:dyDescent="0.25">
      <c r="A553" s="181">
        <v>22394</v>
      </c>
      <c r="B553" s="216" t="s">
        <v>923</v>
      </c>
      <c r="C553">
        <v>22394</v>
      </c>
      <c r="D553" t="s">
        <v>923</v>
      </c>
      <c r="E553" t="s">
        <v>923</v>
      </c>
      <c r="F553" t="s">
        <v>1047</v>
      </c>
      <c r="G553" t="s">
        <v>1047</v>
      </c>
      <c r="H553">
        <v>1</v>
      </c>
      <c r="I553">
        <v>1</v>
      </c>
      <c r="J553" t="s">
        <v>1371</v>
      </c>
      <c r="O553" t="s">
        <v>29</v>
      </c>
      <c r="P553">
        <v>125.68</v>
      </c>
    </row>
    <row r="554" spans="1:16" x14ac:dyDescent="0.25">
      <c r="A554" s="181">
        <v>22395</v>
      </c>
      <c r="B554" s="216" t="s">
        <v>924</v>
      </c>
      <c r="C554">
        <v>22395</v>
      </c>
      <c r="D554" t="s">
        <v>924</v>
      </c>
      <c r="E554" t="s">
        <v>924</v>
      </c>
      <c r="F554" t="s">
        <v>1047</v>
      </c>
      <c r="G554" t="s">
        <v>1047</v>
      </c>
      <c r="H554">
        <v>1</v>
      </c>
      <c r="I554">
        <v>1</v>
      </c>
      <c r="J554" t="s">
        <v>1371</v>
      </c>
      <c r="O554" t="s">
        <v>29</v>
      </c>
      <c r="P554">
        <v>125.68</v>
      </c>
    </row>
    <row r="555" spans="1:16" x14ac:dyDescent="0.25">
      <c r="A555" s="181">
        <v>22399</v>
      </c>
      <c r="B555" s="216" t="s">
        <v>927</v>
      </c>
      <c r="C555">
        <v>22399</v>
      </c>
      <c r="D555" t="s">
        <v>1487</v>
      </c>
      <c r="E555" t="s">
        <v>1487</v>
      </c>
      <c r="F555" t="s">
        <v>1047</v>
      </c>
      <c r="G555" t="s">
        <v>1047</v>
      </c>
      <c r="H555">
        <v>1</v>
      </c>
      <c r="I555">
        <v>1</v>
      </c>
      <c r="J555" t="s">
        <v>1371</v>
      </c>
      <c r="O555" t="s">
        <v>29</v>
      </c>
      <c r="P555">
        <v>2.2400000000000002</v>
      </c>
    </row>
    <row r="556" spans="1:16" x14ac:dyDescent="0.25">
      <c r="A556" s="181">
        <v>22400</v>
      </c>
      <c r="B556" s="216" t="s">
        <v>706</v>
      </c>
      <c r="C556">
        <v>22400</v>
      </c>
      <c r="D556" t="s">
        <v>1488</v>
      </c>
      <c r="E556" t="s">
        <v>1488</v>
      </c>
      <c r="F556" t="s">
        <v>1047</v>
      </c>
      <c r="G556" t="s">
        <v>1047</v>
      </c>
      <c r="H556">
        <v>1</v>
      </c>
      <c r="I556">
        <v>1</v>
      </c>
      <c r="J556" t="s">
        <v>1371</v>
      </c>
      <c r="O556" t="s">
        <v>29</v>
      </c>
      <c r="P556">
        <v>2.5299999999999998</v>
      </c>
    </row>
    <row r="557" spans="1:16" x14ac:dyDescent="0.25">
      <c r="A557" s="181">
        <v>22405</v>
      </c>
      <c r="B557" s="216" t="s">
        <v>707</v>
      </c>
      <c r="C557">
        <v>22405</v>
      </c>
      <c r="D557" t="s">
        <v>1489</v>
      </c>
      <c r="E557" t="s">
        <v>1489</v>
      </c>
      <c r="F557" t="s">
        <v>1047</v>
      </c>
      <c r="G557" t="s">
        <v>1047</v>
      </c>
      <c r="H557">
        <v>1</v>
      </c>
      <c r="I557">
        <v>1</v>
      </c>
      <c r="J557" t="s">
        <v>1371</v>
      </c>
      <c r="O557" t="s">
        <v>29</v>
      </c>
      <c r="P557">
        <v>3.1</v>
      </c>
    </row>
    <row r="558" spans="1:16" x14ac:dyDescent="0.25">
      <c r="A558" s="181">
        <v>22410</v>
      </c>
      <c r="B558" s="216" t="s">
        <v>708</v>
      </c>
      <c r="C558">
        <v>22410</v>
      </c>
      <c r="D558" t="s">
        <v>708</v>
      </c>
      <c r="E558" t="s">
        <v>708</v>
      </c>
      <c r="F558" t="s">
        <v>1047</v>
      </c>
      <c r="G558" t="s">
        <v>1047</v>
      </c>
      <c r="H558">
        <v>1</v>
      </c>
      <c r="I558">
        <v>1</v>
      </c>
      <c r="J558" t="s">
        <v>1371</v>
      </c>
      <c r="O558" t="s">
        <v>29</v>
      </c>
      <c r="P558">
        <v>3.33</v>
      </c>
    </row>
    <row r="559" spans="1:16" x14ac:dyDescent="0.25">
      <c r="A559" s="181">
        <v>22415</v>
      </c>
      <c r="B559" s="216" t="s">
        <v>925</v>
      </c>
      <c r="C559">
        <v>22415</v>
      </c>
      <c r="D559" t="s">
        <v>1490</v>
      </c>
      <c r="E559" t="s">
        <v>1490</v>
      </c>
      <c r="F559" t="s">
        <v>1047</v>
      </c>
      <c r="G559" t="s">
        <v>1047</v>
      </c>
      <c r="H559">
        <v>1</v>
      </c>
      <c r="I559">
        <v>1</v>
      </c>
      <c r="J559" t="s">
        <v>1371</v>
      </c>
      <c r="O559" t="s">
        <v>29</v>
      </c>
      <c r="P559">
        <v>3.67</v>
      </c>
    </row>
    <row r="560" spans="1:16" x14ac:dyDescent="0.25">
      <c r="A560" s="181">
        <v>22420</v>
      </c>
      <c r="B560" s="216" t="s">
        <v>926</v>
      </c>
      <c r="C560">
        <v>22420</v>
      </c>
      <c r="D560" t="s">
        <v>926</v>
      </c>
      <c r="E560" t="s">
        <v>926</v>
      </c>
      <c r="F560" t="s">
        <v>1047</v>
      </c>
      <c r="G560" t="s">
        <v>1047</v>
      </c>
      <c r="H560">
        <v>1</v>
      </c>
      <c r="I560">
        <v>1</v>
      </c>
      <c r="J560" t="s">
        <v>1371</v>
      </c>
      <c r="O560" t="s">
        <v>29</v>
      </c>
      <c r="P560">
        <v>3.68</v>
      </c>
    </row>
    <row r="561" spans="1:16" x14ac:dyDescent="0.25">
      <c r="A561" s="181">
        <v>22425</v>
      </c>
      <c r="B561" s="216" t="s">
        <v>709</v>
      </c>
      <c r="C561">
        <v>22425</v>
      </c>
      <c r="D561" t="s">
        <v>709</v>
      </c>
      <c r="E561" t="s">
        <v>709</v>
      </c>
      <c r="F561" t="s">
        <v>1047</v>
      </c>
      <c r="G561" t="s">
        <v>1047</v>
      </c>
      <c r="H561">
        <v>1</v>
      </c>
      <c r="I561">
        <v>1</v>
      </c>
      <c r="J561" t="s">
        <v>1371</v>
      </c>
      <c r="O561" t="s">
        <v>29</v>
      </c>
      <c r="P561">
        <v>6.07</v>
      </c>
    </row>
    <row r="562" spans="1:16" x14ac:dyDescent="0.25">
      <c r="A562" s="181">
        <v>22500</v>
      </c>
      <c r="B562" s="216" t="s">
        <v>710</v>
      </c>
      <c r="C562">
        <v>22500</v>
      </c>
      <c r="D562" t="s">
        <v>1500</v>
      </c>
      <c r="E562" t="s">
        <v>1500</v>
      </c>
      <c r="F562" t="s">
        <v>1047</v>
      </c>
      <c r="G562" t="s">
        <v>1047</v>
      </c>
      <c r="H562">
        <v>1</v>
      </c>
      <c r="I562">
        <v>1</v>
      </c>
      <c r="J562" t="s">
        <v>1371</v>
      </c>
      <c r="O562" t="s">
        <v>29</v>
      </c>
      <c r="P562">
        <v>66.650000000000006</v>
      </c>
    </row>
    <row r="563" spans="1:16" x14ac:dyDescent="0.25">
      <c r="A563" s="181">
        <v>22505</v>
      </c>
      <c r="B563" s="216" t="s">
        <v>711</v>
      </c>
      <c r="C563">
        <v>22505</v>
      </c>
      <c r="D563" t="s">
        <v>1502</v>
      </c>
      <c r="E563" t="s">
        <v>1502</v>
      </c>
      <c r="F563" t="s">
        <v>1047</v>
      </c>
      <c r="G563" t="s">
        <v>1047</v>
      </c>
      <c r="H563">
        <v>1</v>
      </c>
      <c r="I563">
        <v>1</v>
      </c>
      <c r="J563" t="s">
        <v>1371</v>
      </c>
      <c r="O563" t="s">
        <v>29</v>
      </c>
      <c r="P563">
        <v>69.88</v>
      </c>
    </row>
    <row r="564" spans="1:16" x14ac:dyDescent="0.25">
      <c r="A564" s="181">
        <v>22510</v>
      </c>
      <c r="B564" s="216" t="s">
        <v>928</v>
      </c>
      <c r="C564">
        <v>22510</v>
      </c>
      <c r="D564" t="s">
        <v>1503</v>
      </c>
      <c r="E564" t="s">
        <v>1503</v>
      </c>
      <c r="F564" t="s">
        <v>1047</v>
      </c>
      <c r="G564" t="s">
        <v>1047</v>
      </c>
      <c r="H564">
        <v>1</v>
      </c>
      <c r="I564">
        <v>1</v>
      </c>
      <c r="J564" t="s">
        <v>1371</v>
      </c>
      <c r="O564" t="s">
        <v>29</v>
      </c>
      <c r="P564">
        <v>77.31</v>
      </c>
    </row>
    <row r="565" spans="1:16" x14ac:dyDescent="0.25">
      <c r="A565" s="181">
        <v>22515</v>
      </c>
      <c r="B565" s="216" t="s">
        <v>929</v>
      </c>
      <c r="C565">
        <v>22515</v>
      </c>
      <c r="D565" t="s">
        <v>1504</v>
      </c>
      <c r="E565" t="s">
        <v>1504</v>
      </c>
      <c r="F565" t="s">
        <v>1047</v>
      </c>
      <c r="G565" t="s">
        <v>1047</v>
      </c>
      <c r="H565">
        <v>1</v>
      </c>
      <c r="I565">
        <v>1</v>
      </c>
      <c r="J565" t="s">
        <v>1371</v>
      </c>
      <c r="O565" t="s">
        <v>29</v>
      </c>
      <c r="P565">
        <v>87.41</v>
      </c>
    </row>
    <row r="566" spans="1:16" x14ac:dyDescent="0.25">
      <c r="A566" s="181">
        <v>22518</v>
      </c>
      <c r="B566" s="216" t="s">
        <v>930</v>
      </c>
      <c r="C566">
        <v>22518</v>
      </c>
      <c r="D566" t="s">
        <v>1505</v>
      </c>
      <c r="E566" t="s">
        <v>1505</v>
      </c>
      <c r="F566" t="s">
        <v>1047</v>
      </c>
      <c r="G566" t="s">
        <v>1047</v>
      </c>
      <c r="H566">
        <v>1</v>
      </c>
      <c r="I566">
        <v>1</v>
      </c>
      <c r="J566" t="s">
        <v>1371</v>
      </c>
      <c r="O566" t="s">
        <v>29</v>
      </c>
      <c r="P566">
        <v>275</v>
      </c>
    </row>
    <row r="567" spans="1:16" x14ac:dyDescent="0.25">
      <c r="A567" s="181">
        <v>22520</v>
      </c>
      <c r="B567" s="215" t="s">
        <v>931</v>
      </c>
      <c r="C567">
        <v>22520</v>
      </c>
      <c r="D567" t="s">
        <v>1506</v>
      </c>
      <c r="E567" t="s">
        <v>1506</v>
      </c>
      <c r="F567" t="s">
        <v>1047</v>
      </c>
      <c r="G567" t="s">
        <v>1047</v>
      </c>
      <c r="H567">
        <v>1</v>
      </c>
      <c r="I567">
        <v>1</v>
      </c>
      <c r="J567" t="s">
        <v>1371</v>
      </c>
      <c r="O567" t="s">
        <v>29</v>
      </c>
      <c r="P567">
        <v>0</v>
      </c>
    </row>
    <row r="568" spans="1:16" x14ac:dyDescent="0.25">
      <c r="A568" s="181">
        <v>22525</v>
      </c>
      <c r="B568" s="216" t="s">
        <v>932</v>
      </c>
      <c r="C568">
        <v>22525</v>
      </c>
      <c r="D568" t="s">
        <v>1498</v>
      </c>
      <c r="E568" t="s">
        <v>1498</v>
      </c>
      <c r="F568" t="s">
        <v>1047</v>
      </c>
      <c r="G568" t="s">
        <v>1047</v>
      </c>
      <c r="H568">
        <v>1</v>
      </c>
      <c r="I568">
        <v>1</v>
      </c>
      <c r="J568" t="s">
        <v>1371</v>
      </c>
      <c r="O568" t="s">
        <v>29</v>
      </c>
      <c r="P568">
        <v>72.81</v>
      </c>
    </row>
    <row r="569" spans="1:16" x14ac:dyDescent="0.25">
      <c r="A569" s="181">
        <v>22530</v>
      </c>
      <c r="B569" s="216" t="s">
        <v>933</v>
      </c>
      <c r="C569">
        <v>22530</v>
      </c>
      <c r="D569" t="s">
        <v>1501</v>
      </c>
      <c r="E569" t="s">
        <v>1501</v>
      </c>
      <c r="F569" t="s">
        <v>1047</v>
      </c>
      <c r="G569" t="s">
        <v>1047</v>
      </c>
      <c r="H569">
        <v>1</v>
      </c>
      <c r="I569">
        <v>1</v>
      </c>
      <c r="J569" t="s">
        <v>1371</v>
      </c>
      <c r="O569" t="s">
        <v>29</v>
      </c>
      <c r="P569">
        <v>68.709999999999994</v>
      </c>
    </row>
    <row r="570" spans="1:16" x14ac:dyDescent="0.25">
      <c r="A570" s="181">
        <v>22535</v>
      </c>
      <c r="B570" s="216" t="s">
        <v>934</v>
      </c>
      <c r="C570">
        <v>22535</v>
      </c>
      <c r="D570" t="s">
        <v>1499</v>
      </c>
      <c r="E570" t="s">
        <v>1499</v>
      </c>
      <c r="F570" t="s">
        <v>1047</v>
      </c>
      <c r="G570" t="s">
        <v>1047</v>
      </c>
      <c r="H570">
        <v>1</v>
      </c>
      <c r="I570">
        <v>1</v>
      </c>
      <c r="J570" t="s">
        <v>1371</v>
      </c>
      <c r="O570" t="s">
        <v>29</v>
      </c>
      <c r="P570">
        <v>0</v>
      </c>
    </row>
    <row r="571" spans="1:16" x14ac:dyDescent="0.25">
      <c r="A571" s="181">
        <v>22540</v>
      </c>
      <c r="B571" s="216" t="s">
        <v>712</v>
      </c>
      <c r="C571">
        <v>22540</v>
      </c>
      <c r="D571" t="s">
        <v>712</v>
      </c>
      <c r="E571" t="s">
        <v>712</v>
      </c>
      <c r="F571" t="s">
        <v>1047</v>
      </c>
      <c r="G571" t="s">
        <v>1047</v>
      </c>
      <c r="H571">
        <v>1</v>
      </c>
      <c r="I571">
        <v>1</v>
      </c>
      <c r="J571" t="s">
        <v>1705</v>
      </c>
      <c r="O571" t="s">
        <v>29</v>
      </c>
      <c r="P571">
        <v>103.4</v>
      </c>
    </row>
    <row r="572" spans="1:16" x14ac:dyDescent="0.25">
      <c r="A572" s="181">
        <v>22545</v>
      </c>
      <c r="B572" s="216" t="s">
        <v>935</v>
      </c>
      <c r="C572">
        <v>22545</v>
      </c>
      <c r="D572" t="s">
        <v>935</v>
      </c>
      <c r="E572" t="s">
        <v>935</v>
      </c>
      <c r="F572" t="s">
        <v>1047</v>
      </c>
      <c r="G572" t="s">
        <v>1047</v>
      </c>
      <c r="H572">
        <v>1</v>
      </c>
      <c r="I572">
        <v>1</v>
      </c>
      <c r="J572" t="s">
        <v>1705</v>
      </c>
      <c r="O572" t="s">
        <v>29</v>
      </c>
      <c r="P572">
        <v>71.760000000000005</v>
      </c>
    </row>
    <row r="573" spans="1:16" x14ac:dyDescent="0.25">
      <c r="A573" s="181">
        <v>22550</v>
      </c>
      <c r="B573" s="216" t="s">
        <v>936</v>
      </c>
      <c r="C573">
        <v>22550</v>
      </c>
      <c r="D573" t="s">
        <v>936</v>
      </c>
      <c r="E573" t="s">
        <v>936</v>
      </c>
      <c r="F573" t="s">
        <v>1047</v>
      </c>
      <c r="G573" t="s">
        <v>1047</v>
      </c>
      <c r="H573">
        <v>1</v>
      </c>
      <c r="I573">
        <v>1</v>
      </c>
      <c r="J573" t="s">
        <v>1705</v>
      </c>
      <c r="O573" t="s">
        <v>29</v>
      </c>
      <c r="P573">
        <v>79.12</v>
      </c>
    </row>
    <row r="574" spans="1:16" x14ac:dyDescent="0.25">
      <c r="A574" s="181">
        <v>23000</v>
      </c>
      <c r="B574" s="181" t="s">
        <v>937</v>
      </c>
      <c r="C574">
        <v>23000</v>
      </c>
      <c r="D574" t="s">
        <v>1378</v>
      </c>
      <c r="E574" t="s">
        <v>1378</v>
      </c>
      <c r="F574" t="s">
        <v>1047</v>
      </c>
      <c r="G574" t="s">
        <v>1047</v>
      </c>
      <c r="H574">
        <v>1</v>
      </c>
      <c r="I574">
        <v>1</v>
      </c>
      <c r="J574" t="s">
        <v>1371</v>
      </c>
      <c r="O574" t="s">
        <v>29</v>
      </c>
      <c r="P574">
        <v>7.04</v>
      </c>
    </row>
    <row r="575" spans="1:16" x14ac:dyDescent="0.25">
      <c r="A575" s="181">
        <v>23010</v>
      </c>
      <c r="B575" s="181" t="s">
        <v>446</v>
      </c>
      <c r="C575">
        <v>23010</v>
      </c>
      <c r="D575" t="s">
        <v>446</v>
      </c>
      <c r="E575" t="s">
        <v>446</v>
      </c>
      <c r="F575" t="s">
        <v>1047</v>
      </c>
      <c r="G575" t="s">
        <v>1047</v>
      </c>
      <c r="H575">
        <v>1</v>
      </c>
      <c r="I575">
        <v>1</v>
      </c>
      <c r="J575" t="s">
        <v>1371</v>
      </c>
      <c r="O575" t="s">
        <v>29</v>
      </c>
      <c r="P575">
        <v>0</v>
      </c>
    </row>
    <row r="576" spans="1:16" x14ac:dyDescent="0.25">
      <c r="A576" s="181">
        <v>23460</v>
      </c>
      <c r="B576" s="181" t="s">
        <v>720</v>
      </c>
    </row>
    <row r="577" spans="1:16" x14ac:dyDescent="0.25">
      <c r="A577" s="181">
        <v>23450</v>
      </c>
      <c r="B577" s="181" t="s">
        <v>719</v>
      </c>
      <c r="C577">
        <v>23450</v>
      </c>
      <c r="D577" t="s">
        <v>1375</v>
      </c>
      <c r="E577" t="s">
        <v>1375</v>
      </c>
      <c r="F577" t="s">
        <v>1047</v>
      </c>
      <c r="G577" t="s">
        <v>1047</v>
      </c>
      <c r="H577">
        <v>1</v>
      </c>
      <c r="I577">
        <v>1</v>
      </c>
      <c r="J577" t="s">
        <v>1371</v>
      </c>
      <c r="O577" t="s">
        <v>29</v>
      </c>
      <c r="P577">
        <v>3.44</v>
      </c>
    </row>
    <row r="578" spans="1:16" x14ac:dyDescent="0.25">
      <c r="A578" s="181">
        <v>23020</v>
      </c>
      <c r="B578" s="181" t="s">
        <v>447</v>
      </c>
      <c r="C578">
        <v>23020</v>
      </c>
      <c r="D578" t="s">
        <v>447</v>
      </c>
      <c r="E578" t="s">
        <v>447</v>
      </c>
      <c r="F578" t="s">
        <v>1047</v>
      </c>
      <c r="G578" t="s">
        <v>1047</v>
      </c>
      <c r="H578">
        <v>1</v>
      </c>
      <c r="I578">
        <v>1</v>
      </c>
      <c r="J578" t="s">
        <v>1371</v>
      </c>
      <c r="O578" t="s">
        <v>29</v>
      </c>
      <c r="P578">
        <v>0</v>
      </c>
    </row>
    <row r="579" spans="1:16" x14ac:dyDescent="0.25">
      <c r="A579" s="181">
        <v>23030</v>
      </c>
      <c r="B579" s="181" t="s">
        <v>448</v>
      </c>
      <c r="C579">
        <v>23030</v>
      </c>
      <c r="D579" t="s">
        <v>448</v>
      </c>
      <c r="E579" t="s">
        <v>448</v>
      </c>
      <c r="F579" t="s">
        <v>1047</v>
      </c>
      <c r="G579" t="s">
        <v>1047</v>
      </c>
      <c r="H579">
        <v>1</v>
      </c>
      <c r="I579">
        <v>1</v>
      </c>
      <c r="J579" t="s">
        <v>1371</v>
      </c>
      <c r="O579" t="s">
        <v>29</v>
      </c>
      <c r="P579">
        <v>0</v>
      </c>
    </row>
    <row r="580" spans="1:16" x14ac:dyDescent="0.25">
      <c r="A580" s="181">
        <v>23040</v>
      </c>
      <c r="B580" s="181" t="s">
        <v>449</v>
      </c>
      <c r="C580">
        <v>23040</v>
      </c>
      <c r="D580" t="s">
        <v>449</v>
      </c>
      <c r="E580" t="s">
        <v>449</v>
      </c>
      <c r="F580" t="s">
        <v>1047</v>
      </c>
      <c r="G580" t="s">
        <v>1047</v>
      </c>
      <c r="H580">
        <v>1</v>
      </c>
      <c r="I580">
        <v>1</v>
      </c>
      <c r="J580" t="s">
        <v>1371</v>
      </c>
      <c r="O580" t="s">
        <v>29</v>
      </c>
      <c r="P580">
        <v>0.33</v>
      </c>
    </row>
    <row r="581" spans="1:16" x14ac:dyDescent="0.25">
      <c r="A581" s="181">
        <v>23050</v>
      </c>
      <c r="B581" s="181" t="s">
        <v>450</v>
      </c>
      <c r="C581">
        <v>23050</v>
      </c>
      <c r="D581" t="s">
        <v>450</v>
      </c>
      <c r="E581" t="s">
        <v>450</v>
      </c>
      <c r="F581" t="s">
        <v>1047</v>
      </c>
      <c r="G581" t="s">
        <v>1047</v>
      </c>
      <c r="H581">
        <v>1</v>
      </c>
      <c r="I581">
        <v>1</v>
      </c>
      <c r="J581" t="s">
        <v>1371</v>
      </c>
      <c r="O581" t="s">
        <v>29</v>
      </c>
      <c r="P581">
        <v>0.28000000000000003</v>
      </c>
    </row>
    <row r="582" spans="1:16" x14ac:dyDescent="0.25">
      <c r="A582" s="181">
        <v>23060</v>
      </c>
      <c r="B582" s="181" t="s">
        <v>451</v>
      </c>
      <c r="C582">
        <v>23060</v>
      </c>
      <c r="D582" t="s">
        <v>451</v>
      </c>
      <c r="E582" t="s">
        <v>451</v>
      </c>
      <c r="F582" t="s">
        <v>1047</v>
      </c>
      <c r="G582" t="s">
        <v>1047</v>
      </c>
      <c r="H582">
        <v>1</v>
      </c>
      <c r="I582">
        <v>1</v>
      </c>
      <c r="J582" t="s">
        <v>1371</v>
      </c>
      <c r="O582" t="s">
        <v>29</v>
      </c>
      <c r="P582">
        <v>0.4</v>
      </c>
    </row>
    <row r="583" spans="1:16" x14ac:dyDescent="0.25">
      <c r="A583" s="181">
        <v>23070</v>
      </c>
      <c r="B583" s="181" t="s">
        <v>452</v>
      </c>
      <c r="C583">
        <v>23070</v>
      </c>
      <c r="D583" t="s">
        <v>452</v>
      </c>
      <c r="E583" t="s">
        <v>452</v>
      </c>
      <c r="F583" t="s">
        <v>1047</v>
      </c>
      <c r="G583" t="s">
        <v>1047</v>
      </c>
      <c r="H583">
        <v>1</v>
      </c>
      <c r="I583">
        <v>1</v>
      </c>
      <c r="J583" t="s">
        <v>1371</v>
      </c>
      <c r="O583" t="s">
        <v>29</v>
      </c>
      <c r="P583">
        <v>0.79</v>
      </c>
    </row>
    <row r="584" spans="1:16" x14ac:dyDescent="0.25">
      <c r="A584" s="181">
        <v>23080</v>
      </c>
      <c r="B584" s="181" t="s">
        <v>453</v>
      </c>
      <c r="C584">
        <v>23080</v>
      </c>
      <c r="D584" t="s">
        <v>453</v>
      </c>
      <c r="E584" t="s">
        <v>453</v>
      </c>
      <c r="F584" t="s">
        <v>1047</v>
      </c>
      <c r="G584" t="s">
        <v>1047</v>
      </c>
      <c r="H584">
        <v>1</v>
      </c>
      <c r="I584">
        <v>1</v>
      </c>
      <c r="J584" t="s">
        <v>1371</v>
      </c>
      <c r="O584" t="s">
        <v>29</v>
      </c>
      <c r="P584">
        <v>1.1200000000000001</v>
      </c>
    </row>
    <row r="585" spans="1:16" x14ac:dyDescent="0.25">
      <c r="A585" s="181">
        <v>23090</v>
      </c>
      <c r="B585" s="181" t="s">
        <v>454</v>
      </c>
      <c r="C585">
        <v>23090</v>
      </c>
      <c r="D585" t="s">
        <v>454</v>
      </c>
      <c r="E585" t="s">
        <v>454</v>
      </c>
      <c r="F585" t="s">
        <v>1047</v>
      </c>
      <c r="G585" t="s">
        <v>1047</v>
      </c>
      <c r="H585">
        <v>1</v>
      </c>
      <c r="I585">
        <v>1</v>
      </c>
      <c r="J585" t="s">
        <v>1371</v>
      </c>
      <c r="O585" t="s">
        <v>29</v>
      </c>
      <c r="P585">
        <v>1.53</v>
      </c>
    </row>
    <row r="586" spans="1:16" x14ac:dyDescent="0.25">
      <c r="A586" s="181">
        <v>23100</v>
      </c>
      <c r="B586" s="181" t="s">
        <v>455</v>
      </c>
      <c r="C586">
        <v>23100</v>
      </c>
      <c r="D586" t="s">
        <v>455</v>
      </c>
      <c r="E586" t="s">
        <v>455</v>
      </c>
      <c r="F586" t="s">
        <v>1047</v>
      </c>
      <c r="G586" t="s">
        <v>1047</v>
      </c>
      <c r="H586">
        <v>1</v>
      </c>
      <c r="I586">
        <v>1</v>
      </c>
      <c r="J586" t="s">
        <v>1371</v>
      </c>
      <c r="O586" t="s">
        <v>29</v>
      </c>
      <c r="P586">
        <v>2.4700000000000002</v>
      </c>
    </row>
    <row r="587" spans="1:16" x14ac:dyDescent="0.25">
      <c r="A587" s="181">
        <v>23110</v>
      </c>
      <c r="B587" s="181" t="s">
        <v>456</v>
      </c>
      <c r="C587">
        <v>23110</v>
      </c>
      <c r="D587" t="s">
        <v>456</v>
      </c>
      <c r="E587" t="s">
        <v>456</v>
      </c>
      <c r="F587" t="s">
        <v>1047</v>
      </c>
      <c r="G587" t="s">
        <v>1047</v>
      </c>
      <c r="H587">
        <v>1</v>
      </c>
      <c r="I587">
        <v>1</v>
      </c>
      <c r="J587" t="s">
        <v>1371</v>
      </c>
      <c r="O587" t="s">
        <v>29</v>
      </c>
      <c r="P587">
        <v>2.2200000000000002</v>
      </c>
    </row>
    <row r="588" spans="1:16" x14ac:dyDescent="0.25">
      <c r="A588" s="181">
        <v>23120</v>
      </c>
      <c r="B588" s="181" t="s">
        <v>457</v>
      </c>
      <c r="C588">
        <v>23120</v>
      </c>
      <c r="D588" t="s">
        <v>457</v>
      </c>
      <c r="E588" t="s">
        <v>457</v>
      </c>
      <c r="F588" t="s">
        <v>1047</v>
      </c>
      <c r="G588" t="s">
        <v>1047</v>
      </c>
      <c r="H588">
        <v>1</v>
      </c>
      <c r="I588">
        <v>1</v>
      </c>
      <c r="J588" t="s">
        <v>1371</v>
      </c>
      <c r="O588" t="s">
        <v>29</v>
      </c>
      <c r="P588">
        <v>1.95</v>
      </c>
    </row>
    <row r="589" spans="1:16" x14ac:dyDescent="0.25">
      <c r="A589" s="181">
        <v>23130</v>
      </c>
      <c r="B589" s="181" t="s">
        <v>458</v>
      </c>
      <c r="C589">
        <v>23130</v>
      </c>
      <c r="D589" t="s">
        <v>458</v>
      </c>
      <c r="E589" t="s">
        <v>458</v>
      </c>
      <c r="F589" t="s">
        <v>1047</v>
      </c>
      <c r="G589" t="s">
        <v>1047</v>
      </c>
      <c r="H589">
        <v>1</v>
      </c>
      <c r="I589">
        <v>1</v>
      </c>
      <c r="J589" t="s">
        <v>1371</v>
      </c>
      <c r="O589" t="s">
        <v>29</v>
      </c>
      <c r="P589">
        <v>0.85</v>
      </c>
    </row>
    <row r="590" spans="1:16" x14ac:dyDescent="0.25">
      <c r="A590" s="181">
        <v>23140</v>
      </c>
      <c r="B590" s="181" t="s">
        <v>459</v>
      </c>
      <c r="C590">
        <v>23140</v>
      </c>
      <c r="D590" t="s">
        <v>459</v>
      </c>
      <c r="E590" t="s">
        <v>459</v>
      </c>
      <c r="F590" t="s">
        <v>1047</v>
      </c>
      <c r="G590" t="s">
        <v>1047</v>
      </c>
      <c r="H590">
        <v>1</v>
      </c>
      <c r="I590">
        <v>1</v>
      </c>
      <c r="J590" t="s">
        <v>1371</v>
      </c>
      <c r="O590" t="s">
        <v>29</v>
      </c>
      <c r="P590">
        <v>1.65</v>
      </c>
    </row>
    <row r="591" spans="1:16" x14ac:dyDescent="0.25">
      <c r="A591" s="181">
        <v>23150</v>
      </c>
      <c r="B591" s="181" t="s">
        <v>460</v>
      </c>
      <c r="C591">
        <v>23150</v>
      </c>
      <c r="D591" t="s">
        <v>460</v>
      </c>
      <c r="E591" t="s">
        <v>460</v>
      </c>
      <c r="F591" t="s">
        <v>1047</v>
      </c>
      <c r="G591" t="s">
        <v>1047</v>
      </c>
      <c r="H591">
        <v>1</v>
      </c>
      <c r="I591">
        <v>1</v>
      </c>
      <c r="J591" t="s">
        <v>1371</v>
      </c>
      <c r="O591" t="s">
        <v>29</v>
      </c>
      <c r="P591">
        <v>2.08</v>
      </c>
    </row>
    <row r="592" spans="1:16" x14ac:dyDescent="0.25">
      <c r="A592" s="181">
        <v>23160</v>
      </c>
      <c r="B592" s="181" t="s">
        <v>461</v>
      </c>
      <c r="C592">
        <v>23160</v>
      </c>
      <c r="D592" t="s">
        <v>461</v>
      </c>
      <c r="E592" t="s">
        <v>461</v>
      </c>
      <c r="F592" t="s">
        <v>1047</v>
      </c>
      <c r="G592" t="s">
        <v>1047</v>
      </c>
      <c r="H592">
        <v>1</v>
      </c>
      <c r="I592">
        <v>1</v>
      </c>
      <c r="J592" t="s">
        <v>1371</v>
      </c>
      <c r="O592" t="s">
        <v>29</v>
      </c>
      <c r="P592">
        <v>3.85</v>
      </c>
    </row>
    <row r="593" spans="1:16" x14ac:dyDescent="0.25">
      <c r="A593" s="181">
        <v>23170</v>
      </c>
      <c r="B593" s="181" t="s">
        <v>462</v>
      </c>
      <c r="C593">
        <v>23170</v>
      </c>
      <c r="D593" t="s">
        <v>462</v>
      </c>
      <c r="E593" t="s">
        <v>462</v>
      </c>
      <c r="F593" t="s">
        <v>1047</v>
      </c>
      <c r="G593" t="s">
        <v>1047</v>
      </c>
      <c r="H593">
        <v>1</v>
      </c>
      <c r="I593">
        <v>1</v>
      </c>
      <c r="J593" t="s">
        <v>1371</v>
      </c>
      <c r="O593" t="s">
        <v>29</v>
      </c>
      <c r="P593">
        <v>1.66</v>
      </c>
    </row>
    <row r="594" spans="1:16" x14ac:dyDescent="0.25">
      <c r="A594" s="181">
        <v>23180</v>
      </c>
      <c r="B594" s="181" t="s">
        <v>463</v>
      </c>
      <c r="C594">
        <v>23180</v>
      </c>
      <c r="D594" t="s">
        <v>463</v>
      </c>
      <c r="E594" t="s">
        <v>463</v>
      </c>
      <c r="F594" t="s">
        <v>1047</v>
      </c>
      <c r="G594" t="s">
        <v>1047</v>
      </c>
      <c r="H594">
        <v>1</v>
      </c>
      <c r="I594">
        <v>1</v>
      </c>
      <c r="J594" t="s">
        <v>1371</v>
      </c>
      <c r="O594" t="s">
        <v>29</v>
      </c>
      <c r="P594">
        <v>1.66</v>
      </c>
    </row>
    <row r="595" spans="1:16" x14ac:dyDescent="0.25">
      <c r="A595" s="181">
        <v>23190</v>
      </c>
      <c r="B595" s="181" t="s">
        <v>464</v>
      </c>
      <c r="C595">
        <v>23190</v>
      </c>
      <c r="D595" t="s">
        <v>464</v>
      </c>
      <c r="E595" t="s">
        <v>464</v>
      </c>
      <c r="F595" t="s">
        <v>1047</v>
      </c>
      <c r="G595" t="s">
        <v>1047</v>
      </c>
      <c r="H595">
        <v>1</v>
      </c>
      <c r="I595">
        <v>1</v>
      </c>
      <c r="J595" t="s">
        <v>1371</v>
      </c>
      <c r="O595" t="s">
        <v>29</v>
      </c>
      <c r="P595">
        <v>1.02</v>
      </c>
    </row>
    <row r="596" spans="1:16" x14ac:dyDescent="0.25">
      <c r="A596" s="181">
        <v>23200</v>
      </c>
      <c r="B596" s="181" t="s">
        <v>465</v>
      </c>
      <c r="C596">
        <v>23200</v>
      </c>
      <c r="D596" t="s">
        <v>465</v>
      </c>
      <c r="E596" t="s">
        <v>465</v>
      </c>
      <c r="F596" t="s">
        <v>1047</v>
      </c>
      <c r="G596" t="s">
        <v>1047</v>
      </c>
      <c r="H596">
        <v>1</v>
      </c>
      <c r="I596">
        <v>1</v>
      </c>
      <c r="J596" t="s">
        <v>1371</v>
      </c>
      <c r="O596" t="s">
        <v>29</v>
      </c>
      <c r="P596">
        <v>1.58</v>
      </c>
    </row>
    <row r="597" spans="1:16" x14ac:dyDescent="0.25">
      <c r="A597" s="181">
        <v>23210</v>
      </c>
      <c r="B597" s="181" t="s">
        <v>466</v>
      </c>
      <c r="C597">
        <v>23210</v>
      </c>
      <c r="D597" t="s">
        <v>466</v>
      </c>
      <c r="E597" t="s">
        <v>466</v>
      </c>
      <c r="F597" t="s">
        <v>1047</v>
      </c>
      <c r="G597" t="s">
        <v>1047</v>
      </c>
      <c r="H597">
        <v>1</v>
      </c>
      <c r="I597">
        <v>1</v>
      </c>
      <c r="J597" t="s">
        <v>1371</v>
      </c>
      <c r="O597" t="s">
        <v>29</v>
      </c>
      <c r="P597">
        <v>2.4700000000000002</v>
      </c>
    </row>
    <row r="598" spans="1:16" x14ac:dyDescent="0.25">
      <c r="A598" s="181">
        <v>23220</v>
      </c>
      <c r="B598" s="181" t="s">
        <v>467</v>
      </c>
      <c r="C598">
        <v>23220</v>
      </c>
      <c r="D598" t="s">
        <v>467</v>
      </c>
      <c r="E598" t="s">
        <v>467</v>
      </c>
      <c r="F598" t="s">
        <v>1047</v>
      </c>
      <c r="G598" t="s">
        <v>1047</v>
      </c>
      <c r="H598">
        <v>1</v>
      </c>
      <c r="I598">
        <v>1</v>
      </c>
      <c r="J598" t="s">
        <v>1371</v>
      </c>
      <c r="O598" t="s">
        <v>29</v>
      </c>
      <c r="P598">
        <v>2.95</v>
      </c>
    </row>
    <row r="599" spans="1:16" x14ac:dyDescent="0.25">
      <c r="A599" s="181">
        <v>23230</v>
      </c>
      <c r="B599" s="181" t="s">
        <v>713</v>
      </c>
      <c r="C599">
        <v>23230</v>
      </c>
      <c r="D599" t="s">
        <v>1373</v>
      </c>
      <c r="E599" t="s">
        <v>1373</v>
      </c>
      <c r="F599" t="s">
        <v>1047</v>
      </c>
      <c r="G599" t="s">
        <v>1047</v>
      </c>
      <c r="H599">
        <v>1</v>
      </c>
      <c r="I599">
        <v>1</v>
      </c>
      <c r="J599" t="s">
        <v>1371</v>
      </c>
      <c r="O599" t="s">
        <v>29</v>
      </c>
      <c r="P599">
        <v>5.83</v>
      </c>
    </row>
    <row r="600" spans="1:16" x14ac:dyDescent="0.25">
      <c r="A600" s="181">
        <v>23240</v>
      </c>
      <c r="B600" s="181" t="s">
        <v>938</v>
      </c>
      <c r="C600">
        <v>23240</v>
      </c>
      <c r="D600" t="s">
        <v>1376</v>
      </c>
      <c r="E600" t="s">
        <v>1376</v>
      </c>
      <c r="F600" t="s">
        <v>1047</v>
      </c>
      <c r="G600" t="s">
        <v>1047</v>
      </c>
      <c r="H600">
        <v>1</v>
      </c>
      <c r="I600">
        <v>1</v>
      </c>
      <c r="J600" t="s">
        <v>1371</v>
      </c>
      <c r="O600" t="s">
        <v>29</v>
      </c>
      <c r="P600">
        <v>0</v>
      </c>
    </row>
    <row r="601" spans="1:16" x14ac:dyDescent="0.25">
      <c r="A601" s="181">
        <v>23250</v>
      </c>
      <c r="B601" s="181" t="s">
        <v>468</v>
      </c>
      <c r="C601">
        <v>23250</v>
      </c>
      <c r="D601" t="s">
        <v>468</v>
      </c>
      <c r="E601" t="s">
        <v>468</v>
      </c>
      <c r="F601" t="s">
        <v>1047</v>
      </c>
      <c r="G601" t="s">
        <v>1047</v>
      </c>
      <c r="H601">
        <v>1</v>
      </c>
      <c r="I601">
        <v>1</v>
      </c>
      <c r="J601" t="s">
        <v>1371</v>
      </c>
      <c r="O601" t="s">
        <v>29</v>
      </c>
      <c r="P601">
        <v>1.56</v>
      </c>
    </row>
    <row r="602" spans="1:16" x14ac:dyDescent="0.25">
      <c r="A602" s="181">
        <v>23260</v>
      </c>
      <c r="B602" s="181" t="s">
        <v>469</v>
      </c>
      <c r="C602">
        <v>23260</v>
      </c>
      <c r="D602" t="s">
        <v>469</v>
      </c>
      <c r="E602" t="s">
        <v>469</v>
      </c>
      <c r="F602" t="s">
        <v>1047</v>
      </c>
      <c r="G602" t="s">
        <v>1047</v>
      </c>
      <c r="H602">
        <v>1</v>
      </c>
      <c r="I602">
        <v>1</v>
      </c>
      <c r="J602" t="s">
        <v>1371</v>
      </c>
      <c r="O602" t="s">
        <v>29</v>
      </c>
      <c r="P602">
        <v>0</v>
      </c>
    </row>
    <row r="603" spans="1:16" x14ac:dyDescent="0.25">
      <c r="A603" s="181">
        <v>23270</v>
      </c>
      <c r="B603" s="181" t="s">
        <v>470</v>
      </c>
      <c r="C603">
        <v>23270</v>
      </c>
      <c r="D603" t="s">
        <v>470</v>
      </c>
      <c r="E603" t="s">
        <v>470</v>
      </c>
      <c r="F603" t="s">
        <v>1047</v>
      </c>
      <c r="G603" t="s">
        <v>1047</v>
      </c>
      <c r="H603">
        <v>1</v>
      </c>
      <c r="I603">
        <v>1</v>
      </c>
      <c r="J603" t="s">
        <v>1371</v>
      </c>
      <c r="O603" t="s">
        <v>29</v>
      </c>
      <c r="P603">
        <v>0</v>
      </c>
    </row>
    <row r="604" spans="1:16" x14ac:dyDescent="0.25">
      <c r="A604" s="181">
        <v>23280</v>
      </c>
      <c r="B604" s="181" t="s">
        <v>471</v>
      </c>
      <c r="C604">
        <v>23280</v>
      </c>
      <c r="D604" t="s">
        <v>471</v>
      </c>
      <c r="E604" t="s">
        <v>471</v>
      </c>
      <c r="F604" t="s">
        <v>1047</v>
      </c>
      <c r="G604" t="s">
        <v>1047</v>
      </c>
      <c r="H604">
        <v>1</v>
      </c>
      <c r="I604">
        <v>1</v>
      </c>
      <c r="J604" t="s">
        <v>1371</v>
      </c>
      <c r="O604" t="s">
        <v>29</v>
      </c>
      <c r="P604">
        <v>0</v>
      </c>
    </row>
    <row r="605" spans="1:16" x14ac:dyDescent="0.25">
      <c r="A605" s="181">
        <v>23290</v>
      </c>
      <c r="B605" s="181" t="s">
        <v>472</v>
      </c>
      <c r="C605">
        <v>23290</v>
      </c>
      <c r="D605" t="s">
        <v>472</v>
      </c>
      <c r="E605" t="s">
        <v>472</v>
      </c>
      <c r="F605" t="s">
        <v>1047</v>
      </c>
      <c r="G605" t="s">
        <v>1047</v>
      </c>
      <c r="H605">
        <v>1</v>
      </c>
      <c r="I605">
        <v>1</v>
      </c>
      <c r="J605" t="s">
        <v>1371</v>
      </c>
      <c r="O605" t="s">
        <v>29</v>
      </c>
      <c r="P605">
        <v>0</v>
      </c>
    </row>
    <row r="606" spans="1:16" x14ac:dyDescent="0.25">
      <c r="A606" s="181">
        <v>23300</v>
      </c>
      <c r="B606" s="181" t="s">
        <v>473</v>
      </c>
      <c r="C606">
        <v>23300</v>
      </c>
      <c r="D606" t="s">
        <v>473</v>
      </c>
      <c r="E606" t="s">
        <v>473</v>
      </c>
      <c r="F606" t="s">
        <v>1047</v>
      </c>
      <c r="G606" t="s">
        <v>1047</v>
      </c>
      <c r="H606">
        <v>1</v>
      </c>
      <c r="I606">
        <v>1</v>
      </c>
      <c r="J606" t="s">
        <v>1371</v>
      </c>
      <c r="O606" t="s">
        <v>29</v>
      </c>
      <c r="P606">
        <v>0</v>
      </c>
    </row>
    <row r="607" spans="1:16" x14ac:dyDescent="0.25">
      <c r="A607" s="181">
        <v>23310</v>
      </c>
      <c r="B607" s="181" t="s">
        <v>474</v>
      </c>
      <c r="C607">
        <v>23310</v>
      </c>
      <c r="D607" t="s">
        <v>474</v>
      </c>
      <c r="E607" t="s">
        <v>474</v>
      </c>
      <c r="F607" t="s">
        <v>1047</v>
      </c>
      <c r="G607" t="s">
        <v>1047</v>
      </c>
      <c r="H607">
        <v>1</v>
      </c>
      <c r="I607">
        <v>1</v>
      </c>
      <c r="J607" t="s">
        <v>1371</v>
      </c>
      <c r="O607" t="s">
        <v>29</v>
      </c>
      <c r="P607">
        <v>0</v>
      </c>
    </row>
    <row r="608" spans="1:16" x14ac:dyDescent="0.25">
      <c r="A608" s="181">
        <v>23320</v>
      </c>
      <c r="B608" s="181" t="s">
        <v>475</v>
      </c>
      <c r="C608">
        <v>23320</v>
      </c>
      <c r="D608" t="s">
        <v>475</v>
      </c>
      <c r="E608" t="s">
        <v>475</v>
      </c>
      <c r="F608" t="s">
        <v>1047</v>
      </c>
      <c r="G608" t="s">
        <v>1047</v>
      </c>
      <c r="H608">
        <v>1</v>
      </c>
      <c r="I608">
        <v>1</v>
      </c>
      <c r="J608" t="s">
        <v>1371</v>
      </c>
      <c r="O608" t="s">
        <v>29</v>
      </c>
      <c r="P608">
        <v>0</v>
      </c>
    </row>
    <row r="609" spans="1:16" x14ac:dyDescent="0.25">
      <c r="A609" s="181">
        <v>23325</v>
      </c>
      <c r="B609" s="181" t="s">
        <v>939</v>
      </c>
      <c r="C609">
        <v>23325</v>
      </c>
      <c r="D609" t="s">
        <v>939</v>
      </c>
      <c r="E609" t="s">
        <v>939</v>
      </c>
      <c r="F609" t="s">
        <v>1047</v>
      </c>
      <c r="G609" t="s">
        <v>1047</v>
      </c>
      <c r="H609">
        <v>1</v>
      </c>
      <c r="I609">
        <v>1</v>
      </c>
      <c r="J609" t="s">
        <v>1146</v>
      </c>
      <c r="O609" t="s">
        <v>29</v>
      </c>
      <c r="P609">
        <v>173.15</v>
      </c>
    </row>
    <row r="610" spans="1:16" x14ac:dyDescent="0.25">
      <c r="A610" s="181">
        <v>23323</v>
      </c>
      <c r="B610" s="181" t="s">
        <v>714</v>
      </c>
      <c r="C610">
        <v>23323</v>
      </c>
      <c r="D610" t="s">
        <v>714</v>
      </c>
      <c r="E610" t="s">
        <v>714</v>
      </c>
      <c r="F610" t="s">
        <v>1047</v>
      </c>
      <c r="G610" t="s">
        <v>1047</v>
      </c>
      <c r="H610">
        <v>1</v>
      </c>
      <c r="I610">
        <v>1</v>
      </c>
      <c r="J610" t="s">
        <v>1146</v>
      </c>
      <c r="O610" t="s">
        <v>29</v>
      </c>
      <c r="P610">
        <v>146.51</v>
      </c>
    </row>
    <row r="611" spans="1:16" x14ac:dyDescent="0.25">
      <c r="A611">
        <v>82290</v>
      </c>
      <c r="B611" t="s">
        <v>1752</v>
      </c>
      <c r="C611">
        <v>82290</v>
      </c>
      <c r="D611" t="s">
        <v>1752</v>
      </c>
      <c r="E611" t="s">
        <v>1260</v>
      </c>
      <c r="F611" t="s">
        <v>1047</v>
      </c>
      <c r="G611" t="s">
        <v>1047</v>
      </c>
      <c r="H611">
        <v>1</v>
      </c>
      <c r="I611">
        <v>1</v>
      </c>
      <c r="J611" t="s">
        <v>1146</v>
      </c>
      <c r="O611" t="s">
        <v>29</v>
      </c>
      <c r="P611">
        <v>370.44</v>
      </c>
    </row>
    <row r="612" spans="1:16" x14ac:dyDescent="0.25">
      <c r="A612" s="181">
        <v>23326</v>
      </c>
      <c r="B612" s="181" t="s">
        <v>715</v>
      </c>
      <c r="C612">
        <v>23326</v>
      </c>
      <c r="D612" t="s">
        <v>1147</v>
      </c>
      <c r="E612" t="s">
        <v>1147</v>
      </c>
      <c r="F612" t="s">
        <v>1047</v>
      </c>
      <c r="G612" t="s">
        <v>1047</v>
      </c>
      <c r="H612">
        <v>1</v>
      </c>
      <c r="I612">
        <v>1</v>
      </c>
      <c r="J612" t="s">
        <v>1146</v>
      </c>
      <c r="O612" t="s">
        <v>29</v>
      </c>
      <c r="P612">
        <v>78.989999999999995</v>
      </c>
    </row>
    <row r="613" spans="1:16" x14ac:dyDescent="0.25">
      <c r="A613" s="181">
        <v>23330</v>
      </c>
      <c r="B613" s="181" t="s">
        <v>476</v>
      </c>
      <c r="C613">
        <v>23330</v>
      </c>
      <c r="D613" t="s">
        <v>476</v>
      </c>
      <c r="E613" t="s">
        <v>476</v>
      </c>
      <c r="F613" t="s">
        <v>1047</v>
      </c>
      <c r="G613" t="s">
        <v>1047</v>
      </c>
      <c r="H613">
        <v>1</v>
      </c>
      <c r="I613">
        <v>1</v>
      </c>
      <c r="J613" t="s">
        <v>1146</v>
      </c>
      <c r="O613" t="s">
        <v>29</v>
      </c>
      <c r="P613">
        <v>162.30000000000001</v>
      </c>
    </row>
    <row r="614" spans="1:16" x14ac:dyDescent="0.25">
      <c r="A614" s="181">
        <v>23340</v>
      </c>
      <c r="B614" s="181" t="s">
        <v>477</v>
      </c>
      <c r="C614">
        <v>23340</v>
      </c>
      <c r="D614" t="s">
        <v>477</v>
      </c>
      <c r="E614" t="s">
        <v>477</v>
      </c>
      <c r="F614" t="s">
        <v>1047</v>
      </c>
      <c r="G614" t="s">
        <v>1047</v>
      </c>
      <c r="H614">
        <v>1</v>
      </c>
      <c r="I614">
        <v>1</v>
      </c>
      <c r="J614" t="s">
        <v>1146</v>
      </c>
      <c r="O614" t="s">
        <v>29</v>
      </c>
      <c r="P614">
        <v>146.84</v>
      </c>
    </row>
    <row r="615" spans="1:16" x14ac:dyDescent="0.25">
      <c r="A615" s="181">
        <v>23350</v>
      </c>
      <c r="B615" s="181" t="s">
        <v>478</v>
      </c>
      <c r="C615">
        <v>23350</v>
      </c>
      <c r="D615" t="s">
        <v>478</v>
      </c>
      <c r="E615" t="s">
        <v>478</v>
      </c>
      <c r="F615" t="s">
        <v>1047</v>
      </c>
      <c r="G615" t="s">
        <v>1047</v>
      </c>
      <c r="H615">
        <v>1</v>
      </c>
      <c r="I615">
        <v>1</v>
      </c>
      <c r="J615" t="s">
        <v>1146</v>
      </c>
      <c r="O615" t="s">
        <v>29</v>
      </c>
      <c r="P615">
        <v>169.94</v>
      </c>
    </row>
    <row r="616" spans="1:16" x14ac:dyDescent="0.25">
      <c r="A616" s="181">
        <v>23360</v>
      </c>
      <c r="B616" s="181" t="s">
        <v>479</v>
      </c>
      <c r="C616">
        <v>23360</v>
      </c>
      <c r="D616" t="s">
        <v>479</v>
      </c>
      <c r="E616" t="s">
        <v>479</v>
      </c>
      <c r="F616" t="s">
        <v>1047</v>
      </c>
      <c r="G616" t="s">
        <v>1047</v>
      </c>
      <c r="H616">
        <v>1</v>
      </c>
      <c r="I616">
        <v>1</v>
      </c>
      <c r="J616" t="s">
        <v>1146</v>
      </c>
      <c r="O616" t="s">
        <v>29</v>
      </c>
      <c r="P616">
        <v>147</v>
      </c>
    </row>
    <row r="617" spans="1:16" x14ac:dyDescent="0.25">
      <c r="A617" s="181">
        <v>23370</v>
      </c>
      <c r="B617" s="181" t="s">
        <v>480</v>
      </c>
      <c r="C617">
        <v>23370</v>
      </c>
      <c r="D617" t="s">
        <v>480</v>
      </c>
      <c r="E617" t="s">
        <v>480</v>
      </c>
      <c r="F617" t="s">
        <v>1047</v>
      </c>
      <c r="G617" t="s">
        <v>1047</v>
      </c>
      <c r="H617">
        <v>1</v>
      </c>
      <c r="I617">
        <v>1</v>
      </c>
      <c r="J617" t="s">
        <v>1146</v>
      </c>
      <c r="O617" t="s">
        <v>29</v>
      </c>
      <c r="P617">
        <v>187.47</v>
      </c>
    </row>
    <row r="618" spans="1:16" x14ac:dyDescent="0.25">
      <c r="A618" s="181">
        <v>23380</v>
      </c>
      <c r="B618" s="181" t="s">
        <v>481</v>
      </c>
      <c r="C618">
        <v>23380</v>
      </c>
      <c r="D618" t="s">
        <v>481</v>
      </c>
      <c r="E618" t="s">
        <v>481</v>
      </c>
      <c r="F618" t="s">
        <v>1047</v>
      </c>
      <c r="G618" t="s">
        <v>1047</v>
      </c>
      <c r="H618">
        <v>1</v>
      </c>
      <c r="I618">
        <v>1</v>
      </c>
      <c r="J618" t="s">
        <v>1146</v>
      </c>
      <c r="O618" t="s">
        <v>29</v>
      </c>
      <c r="P618">
        <v>400</v>
      </c>
    </row>
    <row r="619" spans="1:16" x14ac:dyDescent="0.25">
      <c r="A619" s="181">
        <v>23390</v>
      </c>
      <c r="B619" s="181" t="s">
        <v>482</v>
      </c>
      <c r="C619">
        <v>23390</v>
      </c>
      <c r="D619" t="s">
        <v>482</v>
      </c>
      <c r="E619" t="s">
        <v>482</v>
      </c>
      <c r="F619" t="s">
        <v>1047</v>
      </c>
      <c r="G619" t="s">
        <v>1047</v>
      </c>
      <c r="H619">
        <v>1</v>
      </c>
      <c r="I619">
        <v>1</v>
      </c>
      <c r="J619" t="s">
        <v>1371</v>
      </c>
      <c r="O619" t="s">
        <v>29</v>
      </c>
      <c r="P619">
        <v>3.1</v>
      </c>
    </row>
    <row r="620" spans="1:16" x14ac:dyDescent="0.25">
      <c r="A620" s="181">
        <v>23400</v>
      </c>
      <c r="B620" s="181" t="s">
        <v>716</v>
      </c>
      <c r="C620">
        <v>23400</v>
      </c>
      <c r="D620" t="s">
        <v>1459</v>
      </c>
      <c r="E620" t="s">
        <v>1459</v>
      </c>
      <c r="F620" t="s">
        <v>1047</v>
      </c>
      <c r="G620" t="s">
        <v>1047</v>
      </c>
      <c r="H620">
        <v>1</v>
      </c>
      <c r="I620">
        <v>1</v>
      </c>
      <c r="J620" t="s">
        <v>1371</v>
      </c>
      <c r="O620" t="s">
        <v>29</v>
      </c>
      <c r="P620">
        <v>3.5</v>
      </c>
    </row>
    <row r="621" spans="1:16" x14ac:dyDescent="0.25">
      <c r="A621" s="181">
        <v>23410</v>
      </c>
      <c r="B621" s="181" t="s">
        <v>717</v>
      </c>
      <c r="C621">
        <v>23410</v>
      </c>
      <c r="D621" t="s">
        <v>1445</v>
      </c>
      <c r="E621" t="s">
        <v>1445</v>
      </c>
      <c r="F621" t="s">
        <v>1047</v>
      </c>
      <c r="G621" t="s">
        <v>1047</v>
      </c>
      <c r="H621">
        <v>1</v>
      </c>
      <c r="I621">
        <v>1</v>
      </c>
      <c r="J621" t="s">
        <v>1371</v>
      </c>
      <c r="O621" t="s">
        <v>29</v>
      </c>
      <c r="P621">
        <v>3.25</v>
      </c>
    </row>
    <row r="622" spans="1:16" x14ac:dyDescent="0.25">
      <c r="A622" s="181">
        <v>23420</v>
      </c>
      <c r="B622" s="181" t="s">
        <v>718</v>
      </c>
      <c r="C622">
        <v>23420</v>
      </c>
      <c r="D622" t="s">
        <v>1470</v>
      </c>
      <c r="E622" t="s">
        <v>1470</v>
      </c>
      <c r="F622" t="s">
        <v>1047</v>
      </c>
      <c r="G622" t="s">
        <v>1047</v>
      </c>
      <c r="H622">
        <v>1</v>
      </c>
      <c r="I622">
        <v>1</v>
      </c>
      <c r="J622" t="s">
        <v>1371</v>
      </c>
      <c r="O622" t="s">
        <v>29</v>
      </c>
      <c r="P622">
        <v>3.79</v>
      </c>
    </row>
    <row r="623" spans="1:16" x14ac:dyDescent="0.25">
      <c r="A623" s="181">
        <v>23430</v>
      </c>
      <c r="B623" s="181" t="s">
        <v>483</v>
      </c>
      <c r="C623">
        <v>23430</v>
      </c>
      <c r="D623" t="s">
        <v>483</v>
      </c>
      <c r="E623" t="s">
        <v>483</v>
      </c>
      <c r="F623" t="s">
        <v>1047</v>
      </c>
      <c r="G623" t="s">
        <v>1047</v>
      </c>
      <c r="H623">
        <v>1</v>
      </c>
      <c r="I623">
        <v>1</v>
      </c>
      <c r="J623" t="s">
        <v>1371</v>
      </c>
      <c r="O623" t="s">
        <v>29</v>
      </c>
      <c r="P623">
        <v>4.7300000000000004</v>
      </c>
    </row>
    <row r="624" spans="1:16" x14ac:dyDescent="0.25">
      <c r="A624" s="181">
        <v>23470</v>
      </c>
      <c r="B624" s="181" t="s">
        <v>484</v>
      </c>
    </row>
    <row r="625" spans="1:16" x14ac:dyDescent="0.25">
      <c r="A625" s="181">
        <v>23480</v>
      </c>
      <c r="B625" s="181" t="s">
        <v>721</v>
      </c>
    </row>
    <row r="626" spans="1:16" x14ac:dyDescent="0.25">
      <c r="A626" s="181">
        <v>23490</v>
      </c>
      <c r="B626" s="181" t="s">
        <v>485</v>
      </c>
    </row>
    <row r="627" spans="1:16" x14ac:dyDescent="0.25">
      <c r="A627" s="181">
        <v>23500</v>
      </c>
      <c r="B627" s="181" t="s">
        <v>486</v>
      </c>
      <c r="C627">
        <v>23500</v>
      </c>
      <c r="D627" t="s">
        <v>486</v>
      </c>
      <c r="E627" t="s">
        <v>486</v>
      </c>
      <c r="F627" t="s">
        <v>1047</v>
      </c>
      <c r="G627" t="s">
        <v>1047</v>
      </c>
      <c r="H627">
        <v>1</v>
      </c>
      <c r="I627">
        <v>1</v>
      </c>
      <c r="J627" t="s">
        <v>1103</v>
      </c>
      <c r="O627" t="s">
        <v>29</v>
      </c>
      <c r="P627">
        <v>133.55000000000001</v>
      </c>
    </row>
    <row r="628" spans="1:16" x14ac:dyDescent="0.25">
      <c r="A628" s="181">
        <v>23510</v>
      </c>
      <c r="B628" s="181" t="s">
        <v>722</v>
      </c>
    </row>
    <row r="629" spans="1:16" x14ac:dyDescent="0.25">
      <c r="A629" s="181">
        <v>23520</v>
      </c>
      <c r="B629" s="181" t="s">
        <v>487</v>
      </c>
    </row>
    <row r="630" spans="1:16" x14ac:dyDescent="0.25">
      <c r="A630" s="181">
        <v>23530</v>
      </c>
      <c r="B630" s="181" t="s">
        <v>723</v>
      </c>
    </row>
    <row r="631" spans="1:16" x14ac:dyDescent="0.25">
      <c r="A631" s="181">
        <v>25000</v>
      </c>
      <c r="B631" s="181" t="s">
        <v>488</v>
      </c>
      <c r="C631">
        <v>25000</v>
      </c>
      <c r="D631" t="s">
        <v>488</v>
      </c>
      <c r="E631" t="s">
        <v>488</v>
      </c>
      <c r="F631" t="s">
        <v>1047</v>
      </c>
      <c r="G631" t="s">
        <v>1047</v>
      </c>
      <c r="H631">
        <v>1</v>
      </c>
      <c r="I631">
        <v>1</v>
      </c>
      <c r="J631" t="s">
        <v>1705</v>
      </c>
      <c r="O631" t="s">
        <v>29</v>
      </c>
      <c r="P631">
        <v>2.33</v>
      </c>
    </row>
    <row r="632" spans="1:16" x14ac:dyDescent="0.25">
      <c r="A632" s="181">
        <v>25010</v>
      </c>
      <c r="B632" s="181" t="s">
        <v>940</v>
      </c>
      <c r="C632">
        <v>25010</v>
      </c>
      <c r="D632" t="s">
        <v>1709</v>
      </c>
      <c r="E632" t="s">
        <v>1709</v>
      </c>
      <c r="F632" t="s">
        <v>1047</v>
      </c>
      <c r="G632" t="s">
        <v>1047</v>
      </c>
      <c r="H632">
        <v>1</v>
      </c>
      <c r="I632">
        <v>1</v>
      </c>
      <c r="J632" t="s">
        <v>1705</v>
      </c>
      <c r="O632" t="s">
        <v>29</v>
      </c>
      <c r="P632">
        <v>2.93</v>
      </c>
    </row>
    <row r="633" spans="1:16" x14ac:dyDescent="0.25">
      <c r="A633" s="181">
        <v>25020</v>
      </c>
      <c r="B633" s="181" t="s">
        <v>941</v>
      </c>
      <c r="C633">
        <v>25020</v>
      </c>
      <c r="D633" t="s">
        <v>1715</v>
      </c>
      <c r="E633" t="s">
        <v>1715</v>
      </c>
      <c r="F633" t="s">
        <v>1047</v>
      </c>
      <c r="G633" t="s">
        <v>1047</v>
      </c>
      <c r="H633">
        <v>1</v>
      </c>
      <c r="I633">
        <v>1</v>
      </c>
      <c r="J633" t="s">
        <v>1705</v>
      </c>
      <c r="O633" t="s">
        <v>29</v>
      </c>
      <c r="P633">
        <v>3.6</v>
      </c>
    </row>
    <row r="634" spans="1:16" x14ac:dyDescent="0.25">
      <c r="A634" s="181">
        <v>25030</v>
      </c>
      <c r="B634" s="181" t="s">
        <v>942</v>
      </c>
      <c r="C634">
        <v>25030</v>
      </c>
      <c r="D634" t="s">
        <v>1708</v>
      </c>
      <c r="E634" t="s">
        <v>1708</v>
      </c>
      <c r="F634" t="s">
        <v>1047</v>
      </c>
      <c r="G634" t="s">
        <v>1047</v>
      </c>
      <c r="H634">
        <v>1</v>
      </c>
      <c r="I634">
        <v>1</v>
      </c>
      <c r="J634" t="s">
        <v>1705</v>
      </c>
      <c r="O634" t="s">
        <v>29</v>
      </c>
      <c r="P634">
        <v>4.4800000000000004</v>
      </c>
    </row>
    <row r="635" spans="1:16" x14ac:dyDescent="0.25">
      <c r="A635" s="181">
        <v>25040</v>
      </c>
      <c r="B635" s="181" t="s">
        <v>943</v>
      </c>
      <c r="C635">
        <v>25040</v>
      </c>
      <c r="D635" t="s">
        <v>1710</v>
      </c>
      <c r="E635" t="s">
        <v>1710</v>
      </c>
      <c r="F635" t="s">
        <v>1047</v>
      </c>
      <c r="G635" t="s">
        <v>1047</v>
      </c>
      <c r="H635">
        <v>1</v>
      </c>
      <c r="I635">
        <v>1</v>
      </c>
      <c r="J635" t="s">
        <v>1705</v>
      </c>
      <c r="O635" t="s">
        <v>29</v>
      </c>
      <c r="P635">
        <v>5.2</v>
      </c>
    </row>
    <row r="636" spans="1:16" x14ac:dyDescent="0.25">
      <c r="A636" s="181">
        <v>25050</v>
      </c>
      <c r="B636" s="181" t="s">
        <v>944</v>
      </c>
      <c r="C636">
        <v>25050</v>
      </c>
      <c r="D636" t="s">
        <v>1716</v>
      </c>
      <c r="E636" t="s">
        <v>1716</v>
      </c>
      <c r="F636" t="s">
        <v>1047</v>
      </c>
      <c r="G636" t="s">
        <v>1047</v>
      </c>
      <c r="H636">
        <v>1</v>
      </c>
      <c r="I636">
        <v>1</v>
      </c>
      <c r="J636" t="s">
        <v>1705</v>
      </c>
      <c r="O636" t="s">
        <v>29</v>
      </c>
      <c r="P636">
        <v>4.01</v>
      </c>
    </row>
    <row r="637" spans="1:16" x14ac:dyDescent="0.25">
      <c r="A637" s="181">
        <v>25060</v>
      </c>
      <c r="B637" s="181" t="s">
        <v>945</v>
      </c>
    </row>
    <row r="638" spans="1:16" x14ac:dyDescent="0.25">
      <c r="A638" s="181">
        <v>25070</v>
      </c>
      <c r="B638" s="181" t="s">
        <v>489</v>
      </c>
      <c r="C638">
        <v>25070</v>
      </c>
      <c r="D638" t="s">
        <v>489</v>
      </c>
      <c r="E638" t="s">
        <v>489</v>
      </c>
      <c r="F638" t="s">
        <v>1047</v>
      </c>
      <c r="G638" t="s">
        <v>1047</v>
      </c>
      <c r="H638">
        <v>1</v>
      </c>
      <c r="I638">
        <v>1</v>
      </c>
      <c r="J638" t="s">
        <v>1705</v>
      </c>
      <c r="O638" t="s">
        <v>29</v>
      </c>
      <c r="P638">
        <v>8.42</v>
      </c>
    </row>
    <row r="639" spans="1:16" x14ac:dyDescent="0.25">
      <c r="A639" s="181">
        <v>25080</v>
      </c>
      <c r="B639" s="181" t="s">
        <v>490</v>
      </c>
      <c r="C639">
        <v>25080</v>
      </c>
      <c r="D639" t="s">
        <v>490</v>
      </c>
      <c r="E639" t="s">
        <v>490</v>
      </c>
      <c r="F639" t="s">
        <v>1047</v>
      </c>
      <c r="G639" t="s">
        <v>1047</v>
      </c>
      <c r="H639">
        <v>1</v>
      </c>
      <c r="I639">
        <v>1</v>
      </c>
      <c r="J639" t="s">
        <v>1705</v>
      </c>
      <c r="O639" t="s">
        <v>29</v>
      </c>
      <c r="P639">
        <v>7.39</v>
      </c>
    </row>
    <row r="640" spans="1:16" x14ac:dyDescent="0.25">
      <c r="A640" s="181">
        <v>25090</v>
      </c>
      <c r="B640" s="181" t="s">
        <v>491</v>
      </c>
      <c r="C640">
        <v>25090</v>
      </c>
      <c r="D640" t="s">
        <v>491</v>
      </c>
      <c r="E640" t="s">
        <v>491</v>
      </c>
      <c r="F640" t="s">
        <v>1047</v>
      </c>
      <c r="G640" t="s">
        <v>1047</v>
      </c>
      <c r="H640">
        <v>1</v>
      </c>
      <c r="I640">
        <v>1</v>
      </c>
      <c r="J640" t="s">
        <v>1705</v>
      </c>
      <c r="O640" t="s">
        <v>29</v>
      </c>
      <c r="P640">
        <v>14.96</v>
      </c>
    </row>
    <row r="641" spans="1:16" x14ac:dyDescent="0.25">
      <c r="A641" s="181">
        <v>25091</v>
      </c>
      <c r="B641" s="181" t="s">
        <v>724</v>
      </c>
      <c r="C641">
        <v>25091</v>
      </c>
      <c r="D641" t="s">
        <v>724</v>
      </c>
      <c r="E641" t="s">
        <v>724</v>
      </c>
      <c r="F641" t="s">
        <v>1047</v>
      </c>
      <c r="G641" t="s">
        <v>1047</v>
      </c>
      <c r="H641">
        <v>1</v>
      </c>
      <c r="I641">
        <v>1</v>
      </c>
      <c r="J641" t="s">
        <v>1705</v>
      </c>
      <c r="O641" t="s">
        <v>29</v>
      </c>
      <c r="P641">
        <v>2.04</v>
      </c>
    </row>
    <row r="642" spans="1:16" x14ac:dyDescent="0.25">
      <c r="A642" s="181"/>
      <c r="B642" s="181" t="s">
        <v>946</v>
      </c>
    </row>
    <row r="643" spans="1:16" x14ac:dyDescent="0.25">
      <c r="A643" s="181"/>
      <c r="B643" s="181" t="s">
        <v>947</v>
      </c>
    </row>
    <row r="644" spans="1:16" x14ac:dyDescent="0.25">
      <c r="A644" s="181">
        <v>25092</v>
      </c>
      <c r="B644" s="181" t="s">
        <v>725</v>
      </c>
      <c r="C644">
        <v>25092</v>
      </c>
      <c r="D644" t="s">
        <v>725</v>
      </c>
      <c r="E644" t="s">
        <v>725</v>
      </c>
      <c r="F644" t="s">
        <v>1047</v>
      </c>
      <c r="G644" t="s">
        <v>1047</v>
      </c>
      <c r="H644">
        <v>1</v>
      </c>
      <c r="I644">
        <v>1</v>
      </c>
      <c r="J644" t="s">
        <v>1705</v>
      </c>
      <c r="O644" t="s">
        <v>29</v>
      </c>
      <c r="P644">
        <v>2.04</v>
      </c>
    </row>
    <row r="645" spans="1:16" x14ac:dyDescent="0.25">
      <c r="A645" s="181">
        <v>25093</v>
      </c>
      <c r="B645" s="181" t="s">
        <v>726</v>
      </c>
      <c r="C645">
        <v>25093</v>
      </c>
      <c r="D645" t="s">
        <v>1722</v>
      </c>
      <c r="E645" t="s">
        <v>1722</v>
      </c>
      <c r="F645" t="s">
        <v>1047</v>
      </c>
      <c r="G645" t="s">
        <v>1047</v>
      </c>
      <c r="H645">
        <v>1</v>
      </c>
      <c r="I645">
        <v>1</v>
      </c>
      <c r="J645" t="s">
        <v>1705</v>
      </c>
      <c r="O645" t="s">
        <v>29</v>
      </c>
      <c r="P645">
        <v>2.52</v>
      </c>
    </row>
    <row r="646" spans="1:16" x14ac:dyDescent="0.25">
      <c r="A646" s="181">
        <v>25094</v>
      </c>
      <c r="B646" s="181" t="s">
        <v>727</v>
      </c>
      <c r="C646">
        <v>25094</v>
      </c>
      <c r="D646" t="s">
        <v>727</v>
      </c>
      <c r="E646" t="s">
        <v>727</v>
      </c>
      <c r="F646" t="s">
        <v>1047</v>
      </c>
      <c r="G646" t="s">
        <v>1047</v>
      </c>
      <c r="H646">
        <v>1</v>
      </c>
      <c r="I646">
        <v>1</v>
      </c>
      <c r="J646" t="s">
        <v>1705</v>
      </c>
      <c r="O646" t="s">
        <v>29</v>
      </c>
      <c r="P646">
        <v>3.53</v>
      </c>
    </row>
    <row r="647" spans="1:16" x14ac:dyDescent="0.25">
      <c r="A647" s="181">
        <v>25095</v>
      </c>
      <c r="B647" s="181" t="s">
        <v>728</v>
      </c>
      <c r="C647">
        <v>25095</v>
      </c>
      <c r="D647" t="s">
        <v>728</v>
      </c>
      <c r="E647" t="s">
        <v>728</v>
      </c>
      <c r="F647" t="s">
        <v>1047</v>
      </c>
      <c r="G647" t="s">
        <v>1047</v>
      </c>
      <c r="H647">
        <v>1</v>
      </c>
      <c r="I647">
        <v>1</v>
      </c>
      <c r="J647" t="s">
        <v>1705</v>
      </c>
      <c r="O647" t="s">
        <v>29</v>
      </c>
      <c r="P647">
        <v>5.0999999999999996</v>
      </c>
    </row>
    <row r="648" spans="1:16" x14ac:dyDescent="0.25">
      <c r="A648" s="181">
        <v>25096</v>
      </c>
      <c r="B648" s="181" t="s">
        <v>948</v>
      </c>
      <c r="C648">
        <v>25096</v>
      </c>
      <c r="D648" t="s">
        <v>1723</v>
      </c>
      <c r="E648" t="s">
        <v>1723</v>
      </c>
      <c r="F648" t="s">
        <v>1047</v>
      </c>
      <c r="G648" t="s">
        <v>1047</v>
      </c>
      <c r="H648">
        <v>1</v>
      </c>
      <c r="I648">
        <v>1</v>
      </c>
      <c r="J648" t="s">
        <v>1705</v>
      </c>
      <c r="O648" t="s">
        <v>29</v>
      </c>
      <c r="P648">
        <v>7.48</v>
      </c>
    </row>
    <row r="649" spans="1:16" x14ac:dyDescent="0.25">
      <c r="A649" s="181">
        <v>25097</v>
      </c>
      <c r="B649" s="181" t="s">
        <v>729</v>
      </c>
      <c r="C649">
        <v>25097</v>
      </c>
      <c r="D649" t="s">
        <v>729</v>
      </c>
      <c r="E649" t="s">
        <v>729</v>
      </c>
      <c r="F649" t="s">
        <v>1047</v>
      </c>
      <c r="G649" t="s">
        <v>1047</v>
      </c>
      <c r="H649">
        <v>1</v>
      </c>
      <c r="I649">
        <v>1</v>
      </c>
      <c r="J649" t="s">
        <v>1705</v>
      </c>
      <c r="O649" t="s">
        <v>29</v>
      </c>
      <c r="P649">
        <v>1.88</v>
      </c>
    </row>
    <row r="650" spans="1:16" x14ac:dyDescent="0.25">
      <c r="A650" s="181">
        <v>25098</v>
      </c>
      <c r="B650" s="181" t="s">
        <v>730</v>
      </c>
      <c r="C650">
        <v>25098</v>
      </c>
      <c r="D650" t="s">
        <v>730</v>
      </c>
      <c r="E650" t="s">
        <v>730</v>
      </c>
      <c r="F650" t="s">
        <v>1047</v>
      </c>
      <c r="G650" t="s">
        <v>1047</v>
      </c>
      <c r="H650">
        <v>1</v>
      </c>
      <c r="I650">
        <v>1</v>
      </c>
      <c r="J650" t="s">
        <v>1705</v>
      </c>
      <c r="O650" t="s">
        <v>29</v>
      </c>
      <c r="P650">
        <v>1.88</v>
      </c>
    </row>
    <row r="651" spans="1:16" x14ac:dyDescent="0.25">
      <c r="A651" s="181">
        <v>25099</v>
      </c>
      <c r="B651" s="216" t="s">
        <v>949</v>
      </c>
      <c r="C651">
        <v>25099</v>
      </c>
      <c r="D651" t="s">
        <v>949</v>
      </c>
      <c r="E651" t="s">
        <v>949</v>
      </c>
      <c r="F651" t="s">
        <v>1047</v>
      </c>
      <c r="G651" t="s">
        <v>1047</v>
      </c>
      <c r="H651">
        <v>1</v>
      </c>
      <c r="I651">
        <v>1</v>
      </c>
      <c r="J651" t="s">
        <v>1705</v>
      </c>
      <c r="O651" t="s">
        <v>29</v>
      </c>
      <c r="P651">
        <v>4.34</v>
      </c>
    </row>
    <row r="652" spans="1:16" x14ac:dyDescent="0.25">
      <c r="A652" s="181">
        <v>25100</v>
      </c>
      <c r="B652" s="181" t="s">
        <v>950</v>
      </c>
    </row>
    <row r="653" spans="1:16" x14ac:dyDescent="0.25">
      <c r="A653" s="181">
        <v>25110</v>
      </c>
      <c r="B653" s="181" t="s">
        <v>951</v>
      </c>
      <c r="C653">
        <v>25110</v>
      </c>
      <c r="D653" t="s">
        <v>1711</v>
      </c>
      <c r="E653" t="s">
        <v>1711</v>
      </c>
      <c r="F653" t="s">
        <v>1047</v>
      </c>
      <c r="G653" t="s">
        <v>1047</v>
      </c>
      <c r="H653">
        <v>1</v>
      </c>
      <c r="I653">
        <v>1</v>
      </c>
      <c r="J653" t="s">
        <v>1705</v>
      </c>
      <c r="O653" t="s">
        <v>29</v>
      </c>
      <c r="P653">
        <v>6.93</v>
      </c>
    </row>
    <row r="654" spans="1:16" x14ac:dyDescent="0.25">
      <c r="A654" s="181">
        <v>25120</v>
      </c>
      <c r="B654" s="181" t="s">
        <v>952</v>
      </c>
      <c r="C654">
        <v>25120</v>
      </c>
      <c r="D654" t="s">
        <v>1717</v>
      </c>
      <c r="E654" t="s">
        <v>1717</v>
      </c>
      <c r="F654" t="s">
        <v>1047</v>
      </c>
      <c r="G654" t="s">
        <v>1047</v>
      </c>
      <c r="H654">
        <v>1</v>
      </c>
      <c r="I654">
        <v>1</v>
      </c>
      <c r="J654" t="s">
        <v>1705</v>
      </c>
      <c r="O654" t="s">
        <v>29</v>
      </c>
      <c r="P654">
        <v>2.23</v>
      </c>
    </row>
    <row r="655" spans="1:16" x14ac:dyDescent="0.25">
      <c r="A655" s="181">
        <v>25125</v>
      </c>
      <c r="B655" s="181" t="s">
        <v>953</v>
      </c>
      <c r="C655">
        <v>25125</v>
      </c>
      <c r="D655" t="s">
        <v>1730</v>
      </c>
      <c r="E655" t="s">
        <v>1730</v>
      </c>
      <c r="F655" t="s">
        <v>1047</v>
      </c>
      <c r="G655" t="s">
        <v>1047</v>
      </c>
      <c r="H655">
        <v>1</v>
      </c>
      <c r="I655">
        <v>1</v>
      </c>
      <c r="J655" t="s">
        <v>1705</v>
      </c>
      <c r="O655" t="s">
        <v>29</v>
      </c>
      <c r="P655">
        <v>5.0999999999999996</v>
      </c>
    </row>
    <row r="656" spans="1:16" x14ac:dyDescent="0.25">
      <c r="A656" s="181">
        <v>25130</v>
      </c>
      <c r="B656" s="181" t="s">
        <v>954</v>
      </c>
      <c r="C656">
        <v>25130</v>
      </c>
      <c r="D656" t="s">
        <v>1712</v>
      </c>
      <c r="E656" t="s">
        <v>1712</v>
      </c>
      <c r="F656" t="s">
        <v>1047</v>
      </c>
      <c r="G656" t="s">
        <v>1047</v>
      </c>
      <c r="H656">
        <v>1</v>
      </c>
      <c r="I656">
        <v>1</v>
      </c>
      <c r="J656" t="s">
        <v>1705</v>
      </c>
      <c r="O656" t="s">
        <v>29</v>
      </c>
      <c r="P656">
        <v>5.01</v>
      </c>
    </row>
    <row r="657" spans="1:16" x14ac:dyDescent="0.25">
      <c r="A657" s="181">
        <v>25140</v>
      </c>
      <c r="B657" s="181" t="s">
        <v>955</v>
      </c>
    </row>
    <row r="658" spans="1:16" x14ac:dyDescent="0.25">
      <c r="A658" s="181">
        <v>25150</v>
      </c>
      <c r="B658" s="181" t="s">
        <v>492</v>
      </c>
    </row>
    <row r="659" spans="1:16" x14ac:dyDescent="0.25">
      <c r="A659" s="181">
        <v>25160</v>
      </c>
      <c r="B659" s="181" t="s">
        <v>493</v>
      </c>
      <c r="C659">
        <v>25160</v>
      </c>
      <c r="D659" t="s">
        <v>493</v>
      </c>
      <c r="E659" t="s">
        <v>493</v>
      </c>
      <c r="F659" t="s">
        <v>1047</v>
      </c>
      <c r="G659" t="s">
        <v>1047</v>
      </c>
      <c r="H659">
        <v>1</v>
      </c>
      <c r="I659">
        <v>1</v>
      </c>
      <c r="J659" t="s">
        <v>1705</v>
      </c>
      <c r="O659" t="s">
        <v>29</v>
      </c>
      <c r="P659">
        <v>5.1100000000000003</v>
      </c>
    </row>
    <row r="660" spans="1:16" x14ac:dyDescent="0.25">
      <c r="A660" s="181">
        <v>25170</v>
      </c>
      <c r="B660" s="181" t="s">
        <v>731</v>
      </c>
    </row>
    <row r="661" spans="1:16" x14ac:dyDescent="0.25">
      <c r="A661" s="181">
        <v>25180</v>
      </c>
      <c r="B661" s="181" t="s">
        <v>956</v>
      </c>
    </row>
    <row r="662" spans="1:16" x14ac:dyDescent="0.25">
      <c r="A662" s="181">
        <v>25190</v>
      </c>
      <c r="B662" s="181" t="s">
        <v>958</v>
      </c>
    </row>
    <row r="663" spans="1:16" x14ac:dyDescent="0.25">
      <c r="A663" s="181">
        <v>25200</v>
      </c>
      <c r="B663" s="181" t="s">
        <v>732</v>
      </c>
    </row>
    <row r="664" spans="1:16" x14ac:dyDescent="0.25">
      <c r="A664" s="181">
        <v>25210</v>
      </c>
      <c r="B664" s="181" t="s">
        <v>494</v>
      </c>
    </row>
    <row r="665" spans="1:16" x14ac:dyDescent="0.25">
      <c r="A665" s="181">
        <v>25220</v>
      </c>
      <c r="B665" s="181" t="s">
        <v>957</v>
      </c>
    </row>
    <row r="666" spans="1:16" x14ac:dyDescent="0.25">
      <c r="A666" s="181">
        <v>25230</v>
      </c>
      <c r="B666" s="181" t="s">
        <v>733</v>
      </c>
    </row>
    <row r="667" spans="1:16" x14ac:dyDescent="0.25">
      <c r="A667" s="181">
        <v>25240</v>
      </c>
      <c r="B667" s="181" t="s">
        <v>960</v>
      </c>
    </row>
    <row r="668" spans="1:16" x14ac:dyDescent="0.25">
      <c r="A668" s="181">
        <v>25250</v>
      </c>
      <c r="B668" s="181" t="s">
        <v>959</v>
      </c>
    </row>
    <row r="669" spans="1:16" x14ac:dyDescent="0.25">
      <c r="A669" s="181">
        <v>25260</v>
      </c>
      <c r="B669" s="181" t="s">
        <v>961</v>
      </c>
    </row>
    <row r="670" spans="1:16" x14ac:dyDescent="0.25">
      <c r="A670" s="181">
        <v>25270</v>
      </c>
      <c r="B670" s="181" t="s">
        <v>734</v>
      </c>
    </row>
    <row r="671" spans="1:16" x14ac:dyDescent="0.25">
      <c r="A671" s="181">
        <v>25280</v>
      </c>
      <c r="B671" s="181" t="s">
        <v>495</v>
      </c>
    </row>
    <row r="672" spans="1:16" x14ac:dyDescent="0.25">
      <c r="A672" s="181">
        <v>25290</v>
      </c>
      <c r="B672" s="181" t="s">
        <v>496</v>
      </c>
    </row>
    <row r="673" spans="1:16" x14ac:dyDescent="0.25">
      <c r="A673" s="181">
        <v>25300</v>
      </c>
      <c r="B673" s="181" t="s">
        <v>497</v>
      </c>
      <c r="C673">
        <v>25300</v>
      </c>
      <c r="D673" t="s">
        <v>497</v>
      </c>
      <c r="E673" t="s">
        <v>497</v>
      </c>
      <c r="F673" t="s">
        <v>1047</v>
      </c>
      <c r="G673" t="s">
        <v>1047</v>
      </c>
      <c r="H673">
        <v>1</v>
      </c>
      <c r="I673">
        <v>1</v>
      </c>
      <c r="J673" t="s">
        <v>1705</v>
      </c>
      <c r="O673" t="s">
        <v>29</v>
      </c>
      <c r="P673">
        <v>8.73</v>
      </c>
    </row>
    <row r="674" spans="1:16" x14ac:dyDescent="0.25">
      <c r="A674" s="181">
        <v>25310</v>
      </c>
      <c r="B674" s="181" t="s">
        <v>498</v>
      </c>
      <c r="C674">
        <v>25310</v>
      </c>
      <c r="D674" t="s">
        <v>498</v>
      </c>
      <c r="E674" t="s">
        <v>498</v>
      </c>
      <c r="F674" t="s">
        <v>1047</v>
      </c>
      <c r="G674" t="s">
        <v>1047</v>
      </c>
      <c r="H674">
        <v>1</v>
      </c>
      <c r="I674">
        <v>1</v>
      </c>
      <c r="J674" t="s">
        <v>1705</v>
      </c>
      <c r="O674" t="s">
        <v>29</v>
      </c>
      <c r="P674">
        <v>11.08</v>
      </c>
    </row>
    <row r="675" spans="1:16" x14ac:dyDescent="0.25">
      <c r="A675" s="181">
        <v>25320</v>
      </c>
      <c r="B675" s="181" t="s">
        <v>499</v>
      </c>
      <c r="C675">
        <v>25320</v>
      </c>
      <c r="D675" t="s">
        <v>499</v>
      </c>
      <c r="E675" t="s">
        <v>499</v>
      </c>
      <c r="F675" t="s">
        <v>1047</v>
      </c>
      <c r="G675" t="s">
        <v>1047</v>
      </c>
      <c r="H675">
        <v>1</v>
      </c>
      <c r="I675">
        <v>1</v>
      </c>
      <c r="J675" t="s">
        <v>1705</v>
      </c>
      <c r="O675" t="s">
        <v>29</v>
      </c>
      <c r="P675">
        <v>15.06</v>
      </c>
    </row>
    <row r="676" spans="1:16" x14ac:dyDescent="0.25">
      <c r="A676" s="181">
        <v>25330</v>
      </c>
      <c r="B676" s="181" t="s">
        <v>500</v>
      </c>
      <c r="C676">
        <v>25330</v>
      </c>
      <c r="D676" t="s">
        <v>500</v>
      </c>
      <c r="E676" t="s">
        <v>500</v>
      </c>
      <c r="F676" t="s">
        <v>1047</v>
      </c>
      <c r="G676" t="s">
        <v>1047</v>
      </c>
      <c r="H676">
        <v>1</v>
      </c>
      <c r="I676">
        <v>1</v>
      </c>
      <c r="J676" t="s">
        <v>1705</v>
      </c>
      <c r="O676" t="s">
        <v>29</v>
      </c>
      <c r="P676">
        <v>19.3</v>
      </c>
    </row>
    <row r="677" spans="1:16" x14ac:dyDescent="0.25">
      <c r="A677" s="181">
        <v>25340</v>
      </c>
      <c r="B677" s="181" t="s">
        <v>501</v>
      </c>
    </row>
    <row r="678" spans="1:16" x14ac:dyDescent="0.25">
      <c r="A678" s="181">
        <v>25350</v>
      </c>
      <c r="B678" s="181" t="s">
        <v>502</v>
      </c>
      <c r="C678">
        <v>25350</v>
      </c>
      <c r="D678" t="s">
        <v>502</v>
      </c>
      <c r="E678" t="s">
        <v>502</v>
      </c>
      <c r="F678" t="s">
        <v>1047</v>
      </c>
      <c r="G678" t="s">
        <v>1047</v>
      </c>
      <c r="H678">
        <v>1</v>
      </c>
      <c r="I678">
        <v>1</v>
      </c>
      <c r="J678" t="s">
        <v>1705</v>
      </c>
      <c r="O678" t="s">
        <v>29</v>
      </c>
      <c r="P678">
        <v>17.21</v>
      </c>
    </row>
    <row r="679" spans="1:16" x14ac:dyDescent="0.25">
      <c r="A679" s="181">
        <v>25360</v>
      </c>
      <c r="B679" s="181" t="s">
        <v>503</v>
      </c>
      <c r="C679">
        <v>25360</v>
      </c>
      <c r="D679" t="s">
        <v>503</v>
      </c>
      <c r="E679" t="s">
        <v>503</v>
      </c>
      <c r="F679" t="s">
        <v>1047</v>
      </c>
      <c r="G679" t="s">
        <v>1047</v>
      </c>
      <c r="H679">
        <v>1</v>
      </c>
      <c r="I679">
        <v>1</v>
      </c>
      <c r="J679" t="s">
        <v>1705</v>
      </c>
      <c r="O679" t="s">
        <v>29</v>
      </c>
      <c r="P679">
        <v>18.850000000000001</v>
      </c>
    </row>
    <row r="680" spans="1:16" x14ac:dyDescent="0.25">
      <c r="A680" s="181">
        <v>25370</v>
      </c>
      <c r="B680" s="181" t="s">
        <v>504</v>
      </c>
      <c r="C680">
        <v>25370</v>
      </c>
      <c r="D680" t="s">
        <v>504</v>
      </c>
      <c r="E680" t="s">
        <v>504</v>
      </c>
      <c r="F680" t="s">
        <v>1047</v>
      </c>
      <c r="G680" t="s">
        <v>1047</v>
      </c>
      <c r="H680">
        <v>1</v>
      </c>
      <c r="I680">
        <v>1</v>
      </c>
      <c r="J680" t="s">
        <v>1705</v>
      </c>
      <c r="O680" t="s">
        <v>29</v>
      </c>
      <c r="P680">
        <v>20.7</v>
      </c>
    </row>
    <row r="681" spans="1:16" x14ac:dyDescent="0.25">
      <c r="A681" s="181">
        <v>25380</v>
      </c>
      <c r="B681" s="181" t="s">
        <v>962</v>
      </c>
      <c r="C681">
        <v>25380</v>
      </c>
      <c r="D681" t="s">
        <v>962</v>
      </c>
      <c r="E681" t="s">
        <v>962</v>
      </c>
      <c r="F681" t="s">
        <v>1047</v>
      </c>
      <c r="G681" t="s">
        <v>1047</v>
      </c>
      <c r="H681">
        <v>1</v>
      </c>
      <c r="I681">
        <v>1</v>
      </c>
      <c r="J681" t="s">
        <v>1705</v>
      </c>
      <c r="O681" t="s">
        <v>29</v>
      </c>
      <c r="P681">
        <v>19</v>
      </c>
    </row>
    <row r="682" spans="1:16" x14ac:dyDescent="0.25">
      <c r="A682" s="181">
        <v>25390</v>
      </c>
      <c r="B682" s="181" t="s">
        <v>505</v>
      </c>
      <c r="C682">
        <v>25390</v>
      </c>
      <c r="D682" t="s">
        <v>505</v>
      </c>
      <c r="E682" t="s">
        <v>505</v>
      </c>
      <c r="F682" t="s">
        <v>1047</v>
      </c>
      <c r="G682" t="s">
        <v>1047</v>
      </c>
      <c r="H682">
        <v>1</v>
      </c>
      <c r="I682">
        <v>1</v>
      </c>
      <c r="J682" t="s">
        <v>1705</v>
      </c>
      <c r="O682" t="s">
        <v>29</v>
      </c>
      <c r="P682">
        <v>26.4</v>
      </c>
    </row>
    <row r="683" spans="1:16" x14ac:dyDescent="0.25">
      <c r="A683" s="181">
        <v>25400</v>
      </c>
      <c r="B683" s="181" t="s">
        <v>506</v>
      </c>
      <c r="C683">
        <v>25400</v>
      </c>
      <c r="D683" t="s">
        <v>506</v>
      </c>
      <c r="E683" t="s">
        <v>506</v>
      </c>
      <c r="F683" t="s">
        <v>1047</v>
      </c>
      <c r="G683" t="s">
        <v>1047</v>
      </c>
      <c r="H683">
        <v>1</v>
      </c>
      <c r="I683">
        <v>1</v>
      </c>
      <c r="J683" t="s">
        <v>1705</v>
      </c>
      <c r="O683" t="s">
        <v>29</v>
      </c>
      <c r="P683">
        <v>24</v>
      </c>
    </row>
    <row r="684" spans="1:16" x14ac:dyDescent="0.25">
      <c r="A684" s="181">
        <v>25410</v>
      </c>
      <c r="B684" s="181" t="s">
        <v>507</v>
      </c>
      <c r="C684">
        <v>25410</v>
      </c>
      <c r="D684" t="s">
        <v>507</v>
      </c>
      <c r="E684" t="s">
        <v>507</v>
      </c>
      <c r="F684" t="s">
        <v>1047</v>
      </c>
      <c r="G684" t="s">
        <v>1047</v>
      </c>
      <c r="H684">
        <v>1</v>
      </c>
      <c r="I684">
        <v>1</v>
      </c>
      <c r="J684" t="s">
        <v>1705</v>
      </c>
      <c r="O684" t="s">
        <v>29</v>
      </c>
      <c r="P684">
        <v>1.82</v>
      </c>
    </row>
    <row r="685" spans="1:16" x14ac:dyDescent="0.25">
      <c r="A685" s="181">
        <v>25420</v>
      </c>
      <c r="B685" s="181" t="s">
        <v>508</v>
      </c>
      <c r="C685">
        <v>25420</v>
      </c>
      <c r="D685" t="s">
        <v>508</v>
      </c>
      <c r="E685" t="s">
        <v>508</v>
      </c>
      <c r="F685" t="s">
        <v>1047</v>
      </c>
      <c r="G685" t="s">
        <v>1047</v>
      </c>
      <c r="H685">
        <v>1</v>
      </c>
      <c r="I685">
        <v>1</v>
      </c>
      <c r="J685" t="s">
        <v>1705</v>
      </c>
      <c r="O685" t="s">
        <v>29</v>
      </c>
      <c r="P685">
        <v>2.54</v>
      </c>
    </row>
    <row r="686" spans="1:16" x14ac:dyDescent="0.25">
      <c r="A686" s="181">
        <v>25430</v>
      </c>
      <c r="B686" s="181" t="s">
        <v>509</v>
      </c>
      <c r="C686">
        <v>25430</v>
      </c>
      <c r="D686" t="s">
        <v>509</v>
      </c>
      <c r="E686" t="s">
        <v>509</v>
      </c>
      <c r="F686" t="s">
        <v>1047</v>
      </c>
      <c r="G686" t="s">
        <v>1047</v>
      </c>
      <c r="H686">
        <v>1</v>
      </c>
      <c r="I686">
        <v>1</v>
      </c>
      <c r="J686" t="s">
        <v>1705</v>
      </c>
      <c r="O686" t="s">
        <v>29</v>
      </c>
      <c r="P686">
        <v>1.84</v>
      </c>
    </row>
    <row r="687" spans="1:16" x14ac:dyDescent="0.25">
      <c r="A687" s="181">
        <v>25440</v>
      </c>
      <c r="B687" s="181" t="s">
        <v>963</v>
      </c>
      <c r="C687">
        <v>25440</v>
      </c>
      <c r="D687" t="s">
        <v>1713</v>
      </c>
      <c r="E687" t="s">
        <v>1713</v>
      </c>
      <c r="F687" t="s">
        <v>1047</v>
      </c>
      <c r="G687" t="s">
        <v>1047</v>
      </c>
      <c r="H687">
        <v>1</v>
      </c>
      <c r="I687">
        <v>1</v>
      </c>
      <c r="J687" t="s">
        <v>1705</v>
      </c>
      <c r="O687" t="s">
        <v>29</v>
      </c>
      <c r="P687">
        <v>2.39</v>
      </c>
    </row>
    <row r="688" spans="1:16" x14ac:dyDescent="0.25">
      <c r="A688" s="181">
        <v>25450</v>
      </c>
      <c r="B688" s="181" t="s">
        <v>964</v>
      </c>
      <c r="C688">
        <v>25450</v>
      </c>
      <c r="D688" t="s">
        <v>1714</v>
      </c>
      <c r="E688" t="s">
        <v>1714</v>
      </c>
      <c r="F688" t="s">
        <v>1047</v>
      </c>
      <c r="G688" t="s">
        <v>1047</v>
      </c>
      <c r="H688">
        <v>1</v>
      </c>
      <c r="I688">
        <v>1</v>
      </c>
      <c r="J688" t="s">
        <v>1705</v>
      </c>
      <c r="O688" t="s">
        <v>29</v>
      </c>
      <c r="P688">
        <v>1.95</v>
      </c>
    </row>
    <row r="689" spans="1:16" x14ac:dyDescent="0.25">
      <c r="A689" s="181">
        <v>25460</v>
      </c>
      <c r="B689" s="181" t="s">
        <v>510</v>
      </c>
      <c r="C689">
        <v>25460</v>
      </c>
      <c r="D689" t="s">
        <v>510</v>
      </c>
      <c r="E689" t="s">
        <v>510</v>
      </c>
      <c r="F689" t="s">
        <v>1047</v>
      </c>
      <c r="G689" t="s">
        <v>1047</v>
      </c>
      <c r="H689">
        <v>1</v>
      </c>
      <c r="I689">
        <v>1</v>
      </c>
      <c r="J689" t="s">
        <v>1705</v>
      </c>
      <c r="O689" t="s">
        <v>29</v>
      </c>
      <c r="P689">
        <v>2.36</v>
      </c>
    </row>
    <row r="690" spans="1:16" x14ac:dyDescent="0.25">
      <c r="A690" s="181">
        <v>25470</v>
      </c>
      <c r="B690" s="181" t="s">
        <v>965</v>
      </c>
      <c r="C690">
        <v>25470</v>
      </c>
      <c r="D690" t="s">
        <v>1718</v>
      </c>
      <c r="E690" t="s">
        <v>1718</v>
      </c>
      <c r="F690" t="s">
        <v>1047</v>
      </c>
      <c r="G690" t="s">
        <v>1047</v>
      </c>
      <c r="H690">
        <v>1</v>
      </c>
      <c r="I690">
        <v>1</v>
      </c>
      <c r="J690" t="s">
        <v>1705</v>
      </c>
      <c r="O690" t="s">
        <v>29</v>
      </c>
      <c r="P690">
        <v>2.13</v>
      </c>
    </row>
    <row r="691" spans="1:16" x14ac:dyDescent="0.25">
      <c r="A691" s="181">
        <v>25480</v>
      </c>
      <c r="B691" s="181" t="s">
        <v>966</v>
      </c>
      <c r="C691">
        <v>25480</v>
      </c>
      <c r="D691" t="s">
        <v>1719</v>
      </c>
      <c r="E691" t="s">
        <v>1719</v>
      </c>
      <c r="F691" t="s">
        <v>1047</v>
      </c>
      <c r="G691" t="s">
        <v>1047</v>
      </c>
      <c r="H691">
        <v>1</v>
      </c>
      <c r="I691">
        <v>1</v>
      </c>
      <c r="J691" t="s">
        <v>1705</v>
      </c>
      <c r="O691" t="s">
        <v>29</v>
      </c>
      <c r="P691">
        <v>2.13</v>
      </c>
    </row>
    <row r="692" spans="1:16" x14ac:dyDescent="0.25">
      <c r="A692" s="181">
        <v>25490</v>
      </c>
      <c r="B692" s="181" t="s">
        <v>511</v>
      </c>
      <c r="C692">
        <v>25490</v>
      </c>
      <c r="D692" t="s">
        <v>511</v>
      </c>
      <c r="E692" t="s">
        <v>511</v>
      </c>
      <c r="F692" t="s">
        <v>1047</v>
      </c>
      <c r="G692" t="s">
        <v>1047</v>
      </c>
      <c r="H692">
        <v>1</v>
      </c>
      <c r="I692">
        <v>1</v>
      </c>
      <c r="J692" t="s">
        <v>1705</v>
      </c>
      <c r="O692" t="s">
        <v>29</v>
      </c>
      <c r="P692">
        <v>2.35</v>
      </c>
    </row>
    <row r="693" spans="1:16" x14ac:dyDescent="0.25">
      <c r="A693" s="181">
        <v>25500</v>
      </c>
      <c r="B693" s="181" t="s">
        <v>512</v>
      </c>
      <c r="C693">
        <v>25500</v>
      </c>
      <c r="D693" t="s">
        <v>512</v>
      </c>
      <c r="E693" t="s">
        <v>512</v>
      </c>
      <c r="F693" t="s">
        <v>1047</v>
      </c>
      <c r="G693" t="s">
        <v>1047</v>
      </c>
      <c r="H693">
        <v>1</v>
      </c>
      <c r="I693">
        <v>1</v>
      </c>
      <c r="J693" t="s">
        <v>1705</v>
      </c>
      <c r="O693" t="s">
        <v>29</v>
      </c>
      <c r="P693">
        <v>2.36</v>
      </c>
    </row>
    <row r="694" spans="1:16" x14ac:dyDescent="0.25">
      <c r="A694" s="181">
        <v>25510</v>
      </c>
      <c r="B694" s="181" t="s">
        <v>513</v>
      </c>
      <c r="C694">
        <v>25510</v>
      </c>
      <c r="D694" t="s">
        <v>513</v>
      </c>
      <c r="E694" t="s">
        <v>513</v>
      </c>
      <c r="F694" t="s">
        <v>1047</v>
      </c>
      <c r="G694" t="s">
        <v>1047</v>
      </c>
      <c r="H694">
        <v>1</v>
      </c>
      <c r="I694">
        <v>1</v>
      </c>
      <c r="J694" t="s">
        <v>1705</v>
      </c>
      <c r="O694" t="s">
        <v>29</v>
      </c>
      <c r="P694">
        <v>2.41</v>
      </c>
    </row>
    <row r="695" spans="1:16" x14ac:dyDescent="0.25">
      <c r="A695" s="181">
        <v>25520</v>
      </c>
      <c r="B695" s="181" t="s">
        <v>967</v>
      </c>
      <c r="C695">
        <v>25520</v>
      </c>
      <c r="D695" t="s">
        <v>1457</v>
      </c>
      <c r="E695" t="s">
        <v>1457</v>
      </c>
      <c r="F695" t="s">
        <v>1047</v>
      </c>
      <c r="G695" t="s">
        <v>1047</v>
      </c>
      <c r="H695">
        <v>1</v>
      </c>
      <c r="I695">
        <v>1</v>
      </c>
      <c r="J695" t="s">
        <v>1371</v>
      </c>
      <c r="O695" t="s">
        <v>29</v>
      </c>
      <c r="P695">
        <v>6.36</v>
      </c>
    </row>
    <row r="696" spans="1:16" x14ac:dyDescent="0.25">
      <c r="A696" s="181">
        <v>25530</v>
      </c>
      <c r="B696" s="181" t="s">
        <v>514</v>
      </c>
      <c r="C696">
        <v>25530</v>
      </c>
      <c r="D696" t="s">
        <v>514</v>
      </c>
      <c r="E696" t="s">
        <v>514</v>
      </c>
      <c r="F696" t="s">
        <v>1047</v>
      </c>
      <c r="G696" t="s">
        <v>1047</v>
      </c>
      <c r="H696">
        <v>1</v>
      </c>
      <c r="I696">
        <v>1</v>
      </c>
      <c r="J696" t="s">
        <v>1371</v>
      </c>
      <c r="O696" t="s">
        <v>29</v>
      </c>
      <c r="P696">
        <v>5.42</v>
      </c>
    </row>
    <row r="697" spans="1:16" x14ac:dyDescent="0.25">
      <c r="A697" s="181">
        <v>25540</v>
      </c>
      <c r="B697" s="181" t="s">
        <v>515</v>
      </c>
      <c r="C697">
        <v>25540</v>
      </c>
      <c r="D697" t="s">
        <v>515</v>
      </c>
      <c r="E697" t="s">
        <v>515</v>
      </c>
      <c r="F697" t="s">
        <v>1047</v>
      </c>
      <c r="G697" t="s">
        <v>1047</v>
      </c>
      <c r="H697">
        <v>1</v>
      </c>
      <c r="I697">
        <v>1</v>
      </c>
      <c r="J697" t="s">
        <v>1371</v>
      </c>
      <c r="O697" t="s">
        <v>29</v>
      </c>
      <c r="P697">
        <v>8.4700000000000006</v>
      </c>
    </row>
    <row r="698" spans="1:16" x14ac:dyDescent="0.25">
      <c r="A698" s="181">
        <v>25550</v>
      </c>
      <c r="B698" s="181" t="s">
        <v>516</v>
      </c>
      <c r="C698">
        <v>25550</v>
      </c>
      <c r="D698" t="s">
        <v>516</v>
      </c>
      <c r="E698" t="s">
        <v>516</v>
      </c>
      <c r="F698" t="s">
        <v>1047</v>
      </c>
      <c r="G698" t="s">
        <v>1047</v>
      </c>
      <c r="H698">
        <v>1</v>
      </c>
      <c r="I698">
        <v>1</v>
      </c>
      <c r="J698" t="s">
        <v>1371</v>
      </c>
      <c r="O698" t="s">
        <v>29</v>
      </c>
      <c r="P698">
        <v>11.5</v>
      </c>
    </row>
    <row r="699" spans="1:16" x14ac:dyDescent="0.25">
      <c r="A699" s="181">
        <v>25560</v>
      </c>
      <c r="B699" s="181" t="s">
        <v>517</v>
      </c>
      <c r="C699">
        <v>25560</v>
      </c>
      <c r="D699" t="s">
        <v>517</v>
      </c>
      <c r="E699" t="s">
        <v>517</v>
      </c>
      <c r="F699" t="s">
        <v>1047</v>
      </c>
      <c r="G699" t="s">
        <v>1047</v>
      </c>
      <c r="H699">
        <v>1</v>
      </c>
      <c r="I699">
        <v>1</v>
      </c>
      <c r="J699" t="s">
        <v>1371</v>
      </c>
      <c r="O699" t="s">
        <v>29</v>
      </c>
      <c r="P699">
        <v>14.77</v>
      </c>
    </row>
    <row r="700" spans="1:16" x14ac:dyDescent="0.25">
      <c r="A700" s="181">
        <v>25570</v>
      </c>
      <c r="B700" s="181" t="s">
        <v>518</v>
      </c>
      <c r="C700">
        <v>25570</v>
      </c>
      <c r="D700" t="s">
        <v>518</v>
      </c>
      <c r="E700" t="s">
        <v>518</v>
      </c>
      <c r="F700" t="s">
        <v>1047</v>
      </c>
      <c r="G700" t="s">
        <v>1047</v>
      </c>
      <c r="H700">
        <v>1</v>
      </c>
      <c r="I700">
        <v>1</v>
      </c>
      <c r="J700" t="s">
        <v>1371</v>
      </c>
      <c r="O700" t="s">
        <v>29</v>
      </c>
      <c r="P700">
        <v>17.8</v>
      </c>
    </row>
    <row r="701" spans="1:16" x14ac:dyDescent="0.25">
      <c r="A701" s="181">
        <v>25580</v>
      </c>
      <c r="B701" s="181" t="s">
        <v>519</v>
      </c>
      <c r="C701">
        <v>25580</v>
      </c>
      <c r="D701" t="s">
        <v>519</v>
      </c>
      <c r="E701" t="s">
        <v>519</v>
      </c>
      <c r="F701" t="s">
        <v>1047</v>
      </c>
      <c r="G701" t="s">
        <v>1047</v>
      </c>
      <c r="H701">
        <v>1</v>
      </c>
      <c r="I701">
        <v>1</v>
      </c>
      <c r="J701" t="s">
        <v>1371</v>
      </c>
      <c r="O701" t="s">
        <v>29</v>
      </c>
      <c r="P701">
        <v>14.33</v>
      </c>
    </row>
    <row r="702" spans="1:16" x14ac:dyDescent="0.25">
      <c r="A702" s="181">
        <v>25590</v>
      </c>
      <c r="B702" s="181" t="s">
        <v>520</v>
      </c>
      <c r="C702">
        <v>25590</v>
      </c>
      <c r="D702" t="s">
        <v>520</v>
      </c>
      <c r="E702" t="s">
        <v>520</v>
      </c>
      <c r="F702" t="s">
        <v>1047</v>
      </c>
      <c r="G702" t="s">
        <v>1047</v>
      </c>
      <c r="H702">
        <v>1</v>
      </c>
      <c r="I702">
        <v>1</v>
      </c>
      <c r="J702" t="s">
        <v>1371</v>
      </c>
      <c r="O702" t="s">
        <v>29</v>
      </c>
      <c r="P702">
        <v>7.51</v>
      </c>
    </row>
    <row r="703" spans="1:16" x14ac:dyDescent="0.25">
      <c r="A703" s="181">
        <v>25600</v>
      </c>
      <c r="B703" s="181" t="s">
        <v>521</v>
      </c>
      <c r="C703">
        <v>25600</v>
      </c>
      <c r="D703" t="s">
        <v>521</v>
      </c>
      <c r="E703" t="s">
        <v>521</v>
      </c>
      <c r="F703" t="s">
        <v>1047</v>
      </c>
      <c r="G703" t="s">
        <v>1047</v>
      </c>
      <c r="H703">
        <v>1</v>
      </c>
      <c r="I703">
        <v>1</v>
      </c>
      <c r="J703" t="s">
        <v>1371</v>
      </c>
      <c r="O703" t="s">
        <v>29</v>
      </c>
      <c r="P703">
        <v>5.05</v>
      </c>
    </row>
    <row r="704" spans="1:16" x14ac:dyDescent="0.25">
      <c r="A704" s="181">
        <v>25610</v>
      </c>
      <c r="B704" s="181" t="s">
        <v>522</v>
      </c>
      <c r="C704">
        <v>25610</v>
      </c>
      <c r="D704" t="s">
        <v>522</v>
      </c>
      <c r="E704" t="s">
        <v>522</v>
      </c>
      <c r="F704" t="s">
        <v>1047</v>
      </c>
      <c r="G704" t="s">
        <v>1047</v>
      </c>
      <c r="H704">
        <v>1</v>
      </c>
      <c r="I704">
        <v>1</v>
      </c>
      <c r="J704" t="s">
        <v>1371</v>
      </c>
      <c r="O704" t="s">
        <v>29</v>
      </c>
      <c r="P704">
        <v>2.02</v>
      </c>
    </row>
    <row r="705" spans="1:16" x14ac:dyDescent="0.25">
      <c r="A705" s="181">
        <v>25620</v>
      </c>
      <c r="B705" s="219" t="s">
        <v>523</v>
      </c>
      <c r="C705">
        <v>25620</v>
      </c>
      <c r="D705" t="s">
        <v>523</v>
      </c>
      <c r="E705" t="s">
        <v>523</v>
      </c>
      <c r="F705" t="s">
        <v>1047</v>
      </c>
      <c r="G705" t="s">
        <v>1047</v>
      </c>
      <c r="H705">
        <v>1</v>
      </c>
      <c r="I705">
        <v>1</v>
      </c>
      <c r="J705" t="s">
        <v>1371</v>
      </c>
      <c r="O705" t="s">
        <v>29</v>
      </c>
      <c r="P705">
        <v>15.65</v>
      </c>
    </row>
    <row r="706" spans="1:16" x14ac:dyDescent="0.25">
      <c r="A706" s="181">
        <v>25630</v>
      </c>
      <c r="B706" s="181" t="s">
        <v>968</v>
      </c>
      <c r="C706">
        <v>25630</v>
      </c>
      <c r="D706" t="s">
        <v>1451</v>
      </c>
      <c r="E706" t="s">
        <v>1451</v>
      </c>
      <c r="F706" t="s">
        <v>1047</v>
      </c>
      <c r="G706" t="s">
        <v>1047</v>
      </c>
      <c r="H706">
        <v>1</v>
      </c>
      <c r="I706">
        <v>1</v>
      </c>
      <c r="J706" t="s">
        <v>1371</v>
      </c>
      <c r="O706" t="s">
        <v>29</v>
      </c>
      <c r="P706">
        <v>7.43</v>
      </c>
    </row>
    <row r="707" spans="1:16" x14ac:dyDescent="0.25">
      <c r="A707" s="181">
        <v>25634</v>
      </c>
      <c r="B707" s="181" t="s">
        <v>844</v>
      </c>
    </row>
    <row r="708" spans="1:16" x14ac:dyDescent="0.25">
      <c r="A708" s="181">
        <v>25640</v>
      </c>
      <c r="B708" s="181" t="s">
        <v>735</v>
      </c>
    </row>
    <row r="709" spans="1:16" x14ac:dyDescent="0.25">
      <c r="A709" s="181">
        <v>25650</v>
      </c>
      <c r="B709" s="181" t="s">
        <v>969</v>
      </c>
    </row>
    <row r="710" spans="1:16" x14ac:dyDescent="0.25">
      <c r="A710" s="181">
        <v>25660</v>
      </c>
      <c r="B710" s="181" t="s">
        <v>524</v>
      </c>
    </row>
    <row r="711" spans="1:16" x14ac:dyDescent="0.25">
      <c r="A711" s="181">
        <v>25670</v>
      </c>
      <c r="B711" s="181" t="s">
        <v>525</v>
      </c>
    </row>
    <row r="712" spans="1:16" x14ac:dyDescent="0.25">
      <c r="A712" s="181">
        <v>25680</v>
      </c>
      <c r="B712" s="181" t="s">
        <v>526</v>
      </c>
    </row>
    <row r="713" spans="1:16" x14ac:dyDescent="0.25">
      <c r="A713" s="181">
        <v>25690</v>
      </c>
      <c r="B713" s="181" t="s">
        <v>527</v>
      </c>
    </row>
    <row r="714" spans="1:16" x14ac:dyDescent="0.25">
      <c r="A714" s="181">
        <v>25700</v>
      </c>
      <c r="B714" s="181" t="s">
        <v>528</v>
      </c>
      <c r="C714">
        <v>25700</v>
      </c>
      <c r="D714" t="s">
        <v>528</v>
      </c>
      <c r="E714" t="s">
        <v>528</v>
      </c>
      <c r="F714" t="s">
        <v>1047</v>
      </c>
      <c r="G714" t="s">
        <v>1047</v>
      </c>
      <c r="H714">
        <v>1</v>
      </c>
      <c r="I714">
        <v>1</v>
      </c>
      <c r="J714" t="s">
        <v>1371</v>
      </c>
      <c r="O714" t="s">
        <v>29</v>
      </c>
      <c r="P714">
        <v>17.22</v>
      </c>
    </row>
    <row r="715" spans="1:16" x14ac:dyDescent="0.25">
      <c r="A715" s="181">
        <v>25710</v>
      </c>
      <c r="B715" s="181" t="s">
        <v>529</v>
      </c>
    </row>
    <row r="716" spans="1:16" x14ac:dyDescent="0.25">
      <c r="A716" s="181">
        <v>25720</v>
      </c>
      <c r="B716" s="181" t="s">
        <v>530</v>
      </c>
    </row>
    <row r="717" spans="1:16" x14ac:dyDescent="0.25">
      <c r="A717" s="181">
        <v>25730</v>
      </c>
      <c r="B717" s="181" t="s">
        <v>531</v>
      </c>
    </row>
    <row r="718" spans="1:16" x14ac:dyDescent="0.25">
      <c r="A718" s="181">
        <v>25740</v>
      </c>
      <c r="B718" s="181" t="s">
        <v>736</v>
      </c>
    </row>
    <row r="719" spans="1:16" x14ac:dyDescent="0.25">
      <c r="A719" s="181">
        <v>30010</v>
      </c>
      <c r="B719" s="181" t="s">
        <v>970</v>
      </c>
      <c r="C719">
        <v>30010</v>
      </c>
      <c r="D719" t="s">
        <v>1452</v>
      </c>
      <c r="E719" t="s">
        <v>1452</v>
      </c>
      <c r="F719" t="s">
        <v>1047</v>
      </c>
      <c r="G719" t="s">
        <v>1047</v>
      </c>
      <c r="H719">
        <v>1</v>
      </c>
      <c r="I719">
        <v>1</v>
      </c>
      <c r="J719" t="s">
        <v>1371</v>
      </c>
      <c r="O719" t="s">
        <v>29</v>
      </c>
      <c r="P719">
        <v>4.18</v>
      </c>
    </row>
    <row r="720" spans="1:16" x14ac:dyDescent="0.25">
      <c r="A720" s="181">
        <v>30020</v>
      </c>
      <c r="B720" s="181" t="s">
        <v>971</v>
      </c>
      <c r="C720">
        <v>30020</v>
      </c>
      <c r="D720" t="s">
        <v>1450</v>
      </c>
      <c r="E720" t="s">
        <v>1450</v>
      </c>
      <c r="F720" t="s">
        <v>1047</v>
      </c>
      <c r="G720" t="s">
        <v>1047</v>
      </c>
      <c r="H720">
        <v>1</v>
      </c>
      <c r="I720">
        <v>1</v>
      </c>
      <c r="J720" t="s">
        <v>1371</v>
      </c>
      <c r="O720" t="s">
        <v>29</v>
      </c>
      <c r="P720">
        <v>3.48</v>
      </c>
    </row>
    <row r="721" spans="1:16" x14ac:dyDescent="0.25">
      <c r="A721" s="181">
        <v>30030</v>
      </c>
      <c r="B721" s="181" t="s">
        <v>533</v>
      </c>
      <c r="C721">
        <v>30030</v>
      </c>
      <c r="D721" t="s">
        <v>533</v>
      </c>
      <c r="E721" t="s">
        <v>533</v>
      </c>
      <c r="F721" t="s">
        <v>1047</v>
      </c>
      <c r="G721" t="s">
        <v>1047</v>
      </c>
      <c r="H721">
        <v>1</v>
      </c>
      <c r="I721">
        <v>1</v>
      </c>
      <c r="J721" t="s">
        <v>1371</v>
      </c>
      <c r="O721" t="s">
        <v>29</v>
      </c>
      <c r="P721">
        <v>12.72</v>
      </c>
    </row>
    <row r="722" spans="1:16" x14ac:dyDescent="0.25">
      <c r="A722" s="181">
        <v>30032</v>
      </c>
      <c r="B722" s="181" t="s">
        <v>972</v>
      </c>
      <c r="C722">
        <v>30032</v>
      </c>
      <c r="D722" t="s">
        <v>1472</v>
      </c>
      <c r="E722" t="s">
        <v>1472</v>
      </c>
      <c r="F722" t="s">
        <v>1047</v>
      </c>
      <c r="G722" t="s">
        <v>1047</v>
      </c>
      <c r="H722">
        <v>1</v>
      </c>
      <c r="I722">
        <v>1</v>
      </c>
      <c r="J722" t="s">
        <v>1371</v>
      </c>
      <c r="O722" t="s">
        <v>29</v>
      </c>
      <c r="P722">
        <v>20.83</v>
      </c>
    </row>
    <row r="723" spans="1:16" x14ac:dyDescent="0.25">
      <c r="A723" s="181">
        <v>30035</v>
      </c>
      <c r="B723" s="181" t="s">
        <v>973</v>
      </c>
      <c r="C723">
        <v>30035</v>
      </c>
      <c r="D723" t="s">
        <v>973</v>
      </c>
      <c r="E723" t="s">
        <v>973</v>
      </c>
      <c r="F723" t="s">
        <v>1047</v>
      </c>
      <c r="G723" t="s">
        <v>1047</v>
      </c>
      <c r="H723">
        <v>1</v>
      </c>
      <c r="I723">
        <v>1</v>
      </c>
      <c r="J723" t="s">
        <v>1371</v>
      </c>
      <c r="O723" t="s">
        <v>29</v>
      </c>
      <c r="P723">
        <v>40.75</v>
      </c>
    </row>
    <row r="724" spans="1:16" x14ac:dyDescent="0.25">
      <c r="A724" s="220">
        <v>30037</v>
      </c>
      <c r="B724" s="181" t="s">
        <v>1750</v>
      </c>
      <c r="C724" t="s">
        <v>1444</v>
      </c>
      <c r="D724" t="s">
        <v>1443</v>
      </c>
      <c r="E724" t="s">
        <v>1443</v>
      </c>
      <c r="F724" t="s">
        <v>1047</v>
      </c>
      <c r="G724" t="s">
        <v>1047</v>
      </c>
      <c r="H724">
        <v>1</v>
      </c>
      <c r="I724">
        <v>1</v>
      </c>
      <c r="J724" t="s">
        <v>1371</v>
      </c>
      <c r="O724" t="s">
        <v>29</v>
      </c>
      <c r="P724">
        <v>0</v>
      </c>
    </row>
    <row r="725" spans="1:16" x14ac:dyDescent="0.25">
      <c r="A725" s="181">
        <v>30040</v>
      </c>
      <c r="B725" s="181" t="s">
        <v>737</v>
      </c>
      <c r="C725">
        <v>30040</v>
      </c>
      <c r="D725" t="s">
        <v>1455</v>
      </c>
      <c r="E725" t="s">
        <v>1455</v>
      </c>
      <c r="F725" t="s">
        <v>1047</v>
      </c>
      <c r="G725" t="s">
        <v>1047</v>
      </c>
      <c r="H725">
        <v>1</v>
      </c>
      <c r="I725">
        <v>1</v>
      </c>
      <c r="J725" t="s">
        <v>1371</v>
      </c>
      <c r="O725" t="s">
        <v>29</v>
      </c>
      <c r="P725">
        <v>4.68</v>
      </c>
    </row>
    <row r="726" spans="1:16" x14ac:dyDescent="0.25">
      <c r="A726" s="181">
        <v>30045</v>
      </c>
      <c r="B726" s="181" t="s">
        <v>738</v>
      </c>
      <c r="C726">
        <v>30045</v>
      </c>
      <c r="D726" t="s">
        <v>738</v>
      </c>
      <c r="E726" t="s">
        <v>738</v>
      </c>
      <c r="F726" t="s">
        <v>1047</v>
      </c>
      <c r="G726" t="s">
        <v>1047</v>
      </c>
      <c r="H726">
        <v>1</v>
      </c>
      <c r="I726">
        <v>1</v>
      </c>
      <c r="J726" t="s">
        <v>1371</v>
      </c>
      <c r="O726" t="s">
        <v>29</v>
      </c>
      <c r="P726">
        <v>22.06</v>
      </c>
    </row>
    <row r="727" spans="1:16" x14ac:dyDescent="0.25">
      <c r="A727" s="181">
        <v>30060</v>
      </c>
      <c r="B727" s="181" t="s">
        <v>976</v>
      </c>
      <c r="C727">
        <v>30060</v>
      </c>
      <c r="D727" t="s">
        <v>1496</v>
      </c>
      <c r="E727" t="s">
        <v>1496</v>
      </c>
      <c r="F727" t="s">
        <v>1047</v>
      </c>
      <c r="G727" t="s">
        <v>1047</v>
      </c>
      <c r="H727">
        <v>1</v>
      </c>
      <c r="I727">
        <v>1</v>
      </c>
      <c r="J727" t="s">
        <v>1371</v>
      </c>
      <c r="O727" t="s">
        <v>29</v>
      </c>
      <c r="P727">
        <v>28</v>
      </c>
    </row>
    <row r="728" spans="1:16" x14ac:dyDescent="0.25">
      <c r="A728" s="181">
        <v>30070</v>
      </c>
      <c r="B728" s="181" t="s">
        <v>534</v>
      </c>
      <c r="C728">
        <v>30070</v>
      </c>
      <c r="D728" t="s">
        <v>534</v>
      </c>
      <c r="E728" t="s">
        <v>534</v>
      </c>
      <c r="F728" t="s">
        <v>1047</v>
      </c>
      <c r="G728" t="s">
        <v>1047</v>
      </c>
      <c r="H728">
        <v>1</v>
      </c>
      <c r="I728">
        <v>1</v>
      </c>
      <c r="J728" t="s">
        <v>1371</v>
      </c>
      <c r="O728" t="s">
        <v>29</v>
      </c>
      <c r="P728">
        <v>13.03</v>
      </c>
    </row>
    <row r="729" spans="1:16" x14ac:dyDescent="0.25">
      <c r="A729" s="181">
        <v>30050</v>
      </c>
      <c r="B729" s="181" t="s">
        <v>974</v>
      </c>
      <c r="C729">
        <v>30050</v>
      </c>
      <c r="D729" t="s">
        <v>1463</v>
      </c>
      <c r="E729" t="s">
        <v>1463</v>
      </c>
      <c r="F729" t="s">
        <v>1047</v>
      </c>
      <c r="G729" t="s">
        <v>1047</v>
      </c>
      <c r="H729">
        <v>1</v>
      </c>
      <c r="I729">
        <v>1</v>
      </c>
      <c r="J729" t="s">
        <v>1371</v>
      </c>
      <c r="O729" t="s">
        <v>29</v>
      </c>
      <c r="P729">
        <v>28</v>
      </c>
    </row>
    <row r="730" spans="1:16" x14ac:dyDescent="0.25">
      <c r="A730" s="181">
        <v>30073</v>
      </c>
      <c r="B730" s="181" t="s">
        <v>975</v>
      </c>
      <c r="C730">
        <v>30073</v>
      </c>
      <c r="D730" t="s">
        <v>1497</v>
      </c>
      <c r="E730" t="s">
        <v>1497</v>
      </c>
      <c r="F730" t="s">
        <v>1047</v>
      </c>
      <c r="G730" t="s">
        <v>1047</v>
      </c>
      <c r="H730">
        <v>1</v>
      </c>
      <c r="I730">
        <v>1</v>
      </c>
      <c r="J730" t="s">
        <v>1371</v>
      </c>
      <c r="O730" t="s">
        <v>29</v>
      </c>
      <c r="P730">
        <v>48.5</v>
      </c>
    </row>
    <row r="731" spans="1:16" x14ac:dyDescent="0.25">
      <c r="A731" s="181">
        <v>30075</v>
      </c>
      <c r="B731" s="181" t="s">
        <v>977</v>
      </c>
      <c r="C731">
        <v>30075</v>
      </c>
      <c r="D731" t="s">
        <v>1495</v>
      </c>
      <c r="E731" t="s">
        <v>1495</v>
      </c>
      <c r="F731" t="s">
        <v>1047</v>
      </c>
      <c r="G731" t="s">
        <v>1047</v>
      </c>
      <c r="H731">
        <v>1</v>
      </c>
      <c r="I731">
        <v>1</v>
      </c>
      <c r="J731" t="s">
        <v>1371</v>
      </c>
      <c r="O731" t="s">
        <v>29</v>
      </c>
      <c r="P731">
        <v>55.24</v>
      </c>
    </row>
    <row r="732" spans="1:16" x14ac:dyDescent="0.25">
      <c r="A732" s="181">
        <v>30100</v>
      </c>
      <c r="B732" s="181" t="s">
        <v>739</v>
      </c>
      <c r="C732">
        <v>30100</v>
      </c>
      <c r="D732" t="s">
        <v>1448</v>
      </c>
      <c r="E732" t="s">
        <v>1448</v>
      </c>
      <c r="F732" t="s">
        <v>1047</v>
      </c>
      <c r="G732" t="s">
        <v>1047</v>
      </c>
      <c r="H732">
        <v>1</v>
      </c>
      <c r="I732">
        <v>1</v>
      </c>
      <c r="J732" t="s">
        <v>1371</v>
      </c>
      <c r="O732" t="s">
        <v>29</v>
      </c>
      <c r="P732">
        <v>32.14</v>
      </c>
    </row>
    <row r="733" spans="1:16" x14ac:dyDescent="0.25">
      <c r="A733" s="181">
        <v>30110</v>
      </c>
      <c r="B733" s="181" t="s">
        <v>535</v>
      </c>
    </row>
    <row r="734" spans="1:16" x14ac:dyDescent="0.25">
      <c r="A734" s="181">
        <v>30120</v>
      </c>
      <c r="B734" s="181" t="s">
        <v>740</v>
      </c>
      <c r="C734">
        <v>30120</v>
      </c>
      <c r="D734" t="s">
        <v>740</v>
      </c>
      <c r="E734" t="s">
        <v>740</v>
      </c>
      <c r="F734" t="s">
        <v>1047</v>
      </c>
      <c r="G734" t="s">
        <v>1047</v>
      </c>
      <c r="H734">
        <v>1</v>
      </c>
      <c r="I734">
        <v>1</v>
      </c>
      <c r="J734" t="s">
        <v>1371</v>
      </c>
      <c r="O734" t="s">
        <v>29</v>
      </c>
      <c r="P734">
        <v>5.81</v>
      </c>
    </row>
    <row r="735" spans="1:16" x14ac:dyDescent="0.25">
      <c r="A735" s="181">
        <v>30130</v>
      </c>
      <c r="B735" s="181" t="s">
        <v>741</v>
      </c>
      <c r="C735">
        <v>30130</v>
      </c>
      <c r="D735" t="s">
        <v>741</v>
      </c>
      <c r="E735" t="s">
        <v>741</v>
      </c>
      <c r="F735" t="s">
        <v>1047</v>
      </c>
      <c r="G735" t="s">
        <v>1047</v>
      </c>
      <c r="H735">
        <v>1</v>
      </c>
      <c r="I735">
        <v>1</v>
      </c>
      <c r="J735" t="s">
        <v>1371</v>
      </c>
      <c r="O735" t="s">
        <v>29</v>
      </c>
      <c r="P735">
        <v>5.87</v>
      </c>
    </row>
    <row r="736" spans="1:16" x14ac:dyDescent="0.25">
      <c r="A736" s="181">
        <v>30140</v>
      </c>
      <c r="B736" s="181" t="s">
        <v>742</v>
      </c>
      <c r="C736">
        <v>30140</v>
      </c>
      <c r="D736" t="s">
        <v>742</v>
      </c>
      <c r="E736" t="s">
        <v>742</v>
      </c>
      <c r="F736" t="s">
        <v>1047</v>
      </c>
      <c r="G736" t="s">
        <v>1047</v>
      </c>
      <c r="H736">
        <v>1</v>
      </c>
      <c r="I736">
        <v>1</v>
      </c>
      <c r="J736" t="s">
        <v>1371</v>
      </c>
      <c r="O736" t="s">
        <v>29</v>
      </c>
      <c r="P736">
        <v>5.99</v>
      </c>
    </row>
    <row r="737" spans="1:16" x14ac:dyDescent="0.25">
      <c r="A737" s="181">
        <v>30150</v>
      </c>
      <c r="B737" s="181" t="s">
        <v>743</v>
      </c>
      <c r="C737">
        <v>30150</v>
      </c>
      <c r="D737" t="s">
        <v>743</v>
      </c>
      <c r="E737" t="s">
        <v>743</v>
      </c>
      <c r="F737" t="s">
        <v>1047</v>
      </c>
      <c r="G737" t="s">
        <v>1047</v>
      </c>
      <c r="H737">
        <v>1</v>
      </c>
      <c r="I737">
        <v>1</v>
      </c>
      <c r="J737" t="s">
        <v>1371</v>
      </c>
      <c r="O737" t="s">
        <v>29</v>
      </c>
      <c r="P737">
        <v>9.99</v>
      </c>
    </row>
    <row r="738" spans="1:16" x14ac:dyDescent="0.25">
      <c r="A738" s="181">
        <v>30160</v>
      </c>
      <c r="B738" s="181" t="s">
        <v>744</v>
      </c>
      <c r="C738">
        <v>30160</v>
      </c>
      <c r="D738" t="s">
        <v>744</v>
      </c>
      <c r="E738" t="s">
        <v>744</v>
      </c>
      <c r="F738" t="s">
        <v>1047</v>
      </c>
      <c r="G738" t="s">
        <v>1047</v>
      </c>
      <c r="H738">
        <v>1</v>
      </c>
      <c r="I738">
        <v>1</v>
      </c>
      <c r="J738" t="s">
        <v>1371</v>
      </c>
      <c r="O738" t="s">
        <v>29</v>
      </c>
      <c r="P738">
        <v>16.68</v>
      </c>
    </row>
    <row r="739" spans="1:16" x14ac:dyDescent="0.25">
      <c r="A739" s="181">
        <v>30165</v>
      </c>
      <c r="B739" s="181" t="s">
        <v>745</v>
      </c>
      <c r="C739">
        <v>30165</v>
      </c>
      <c r="D739" t="s">
        <v>745</v>
      </c>
      <c r="E739" t="s">
        <v>745</v>
      </c>
      <c r="F739" t="s">
        <v>1047</v>
      </c>
      <c r="G739" t="s">
        <v>1047</v>
      </c>
      <c r="H739">
        <v>1</v>
      </c>
      <c r="I739">
        <v>1</v>
      </c>
      <c r="J739" t="s">
        <v>1371</v>
      </c>
      <c r="O739" t="s">
        <v>29</v>
      </c>
      <c r="P739">
        <v>17.329999999999998</v>
      </c>
    </row>
    <row r="740" spans="1:16" x14ac:dyDescent="0.25">
      <c r="A740" s="181">
        <v>30170</v>
      </c>
      <c r="B740" s="181" t="s">
        <v>746</v>
      </c>
      <c r="C740">
        <v>30170</v>
      </c>
      <c r="D740" t="s">
        <v>746</v>
      </c>
      <c r="E740" t="s">
        <v>746</v>
      </c>
      <c r="F740" t="s">
        <v>1047</v>
      </c>
      <c r="G740" t="s">
        <v>1047</v>
      </c>
      <c r="H740">
        <v>1</v>
      </c>
      <c r="I740">
        <v>1</v>
      </c>
      <c r="J740" t="s">
        <v>1371</v>
      </c>
      <c r="O740" t="s">
        <v>29</v>
      </c>
      <c r="P740">
        <v>0</v>
      </c>
    </row>
    <row r="741" spans="1:16" x14ac:dyDescent="0.25">
      <c r="A741" s="181">
        <v>39000</v>
      </c>
      <c r="B741" s="181" t="s">
        <v>747</v>
      </c>
      <c r="C741">
        <v>39000</v>
      </c>
      <c r="D741" t="s">
        <v>747</v>
      </c>
      <c r="E741" t="s">
        <v>747</v>
      </c>
      <c r="F741" t="s">
        <v>1047</v>
      </c>
      <c r="G741" t="s">
        <v>1047</v>
      </c>
      <c r="H741">
        <v>1</v>
      </c>
      <c r="I741">
        <v>1</v>
      </c>
      <c r="J741" t="s">
        <v>1371</v>
      </c>
      <c r="O741" t="s">
        <v>29</v>
      </c>
      <c r="P741">
        <v>5.95</v>
      </c>
    </row>
    <row r="742" spans="1:16" x14ac:dyDescent="0.25">
      <c r="A742" s="181">
        <v>39005</v>
      </c>
      <c r="B742" s="181" t="s">
        <v>978</v>
      </c>
      <c r="C742">
        <v>39005</v>
      </c>
      <c r="D742" t="s">
        <v>978</v>
      </c>
      <c r="E742" t="s">
        <v>978</v>
      </c>
      <c r="F742" t="s">
        <v>1047</v>
      </c>
      <c r="G742" t="s">
        <v>1047</v>
      </c>
      <c r="H742">
        <v>1</v>
      </c>
      <c r="I742">
        <v>1</v>
      </c>
      <c r="J742" t="s">
        <v>1371</v>
      </c>
      <c r="O742" t="s">
        <v>29</v>
      </c>
      <c r="P742">
        <v>4.37</v>
      </c>
    </row>
    <row r="743" spans="1:16" x14ac:dyDescent="0.25">
      <c r="A743" s="181">
        <v>39010</v>
      </c>
      <c r="B743" s="185" t="s">
        <v>979</v>
      </c>
      <c r="C743">
        <v>39010</v>
      </c>
      <c r="D743" t="s">
        <v>1460</v>
      </c>
      <c r="E743" t="s">
        <v>1460</v>
      </c>
      <c r="F743" t="s">
        <v>1047</v>
      </c>
      <c r="G743" t="s">
        <v>1047</v>
      </c>
      <c r="H743">
        <v>1</v>
      </c>
      <c r="I743">
        <v>1</v>
      </c>
      <c r="J743" t="s">
        <v>1371</v>
      </c>
      <c r="O743" t="s">
        <v>29</v>
      </c>
      <c r="P743">
        <v>2.98</v>
      </c>
    </row>
    <row r="744" spans="1:16" x14ac:dyDescent="0.25">
      <c r="A744" s="181">
        <v>39015</v>
      </c>
      <c r="B744" s="181" t="s">
        <v>439</v>
      </c>
      <c r="C744">
        <v>39015</v>
      </c>
      <c r="D744" t="s">
        <v>439</v>
      </c>
      <c r="E744" t="s">
        <v>439</v>
      </c>
      <c r="F744" t="s">
        <v>1047</v>
      </c>
      <c r="G744" t="s">
        <v>1047</v>
      </c>
      <c r="H744">
        <v>1</v>
      </c>
      <c r="I744">
        <v>1</v>
      </c>
      <c r="J744" t="s">
        <v>1371</v>
      </c>
      <c r="O744" t="s">
        <v>29</v>
      </c>
      <c r="P744">
        <v>1.37</v>
      </c>
    </row>
    <row r="745" spans="1:16" x14ac:dyDescent="0.25">
      <c r="A745" s="181">
        <v>25760</v>
      </c>
      <c r="B745" s="181" t="s">
        <v>532</v>
      </c>
      <c r="C745">
        <v>25760</v>
      </c>
      <c r="D745" t="s">
        <v>532</v>
      </c>
      <c r="E745" t="s">
        <v>532</v>
      </c>
      <c r="F745" t="s">
        <v>1047</v>
      </c>
      <c r="G745" t="s">
        <v>1047</v>
      </c>
      <c r="H745">
        <v>1</v>
      </c>
      <c r="I745">
        <v>1</v>
      </c>
      <c r="J745" t="s">
        <v>1371</v>
      </c>
      <c r="O745" t="s">
        <v>29</v>
      </c>
      <c r="P745">
        <v>9.5299999999999994</v>
      </c>
    </row>
    <row r="746" spans="1:16" x14ac:dyDescent="0.25">
      <c r="A746" s="181">
        <v>39020</v>
      </c>
      <c r="B746" s="181" t="s">
        <v>748</v>
      </c>
      <c r="C746">
        <v>39020</v>
      </c>
      <c r="D746" t="s">
        <v>748</v>
      </c>
      <c r="E746" t="s">
        <v>748</v>
      </c>
      <c r="F746" t="s">
        <v>1047</v>
      </c>
      <c r="G746" t="s">
        <v>1047</v>
      </c>
      <c r="H746">
        <v>1</v>
      </c>
      <c r="I746">
        <v>1</v>
      </c>
      <c r="J746" t="s">
        <v>1705</v>
      </c>
      <c r="O746" t="s">
        <v>29</v>
      </c>
      <c r="P746">
        <v>4.88</v>
      </c>
    </row>
    <row r="747" spans="1:16" x14ac:dyDescent="0.25">
      <c r="A747" s="181">
        <v>39025</v>
      </c>
      <c r="B747" s="181" t="s">
        <v>749</v>
      </c>
      <c r="C747">
        <v>39025</v>
      </c>
      <c r="D747" t="s">
        <v>749</v>
      </c>
      <c r="E747" t="s">
        <v>749</v>
      </c>
      <c r="F747" t="s">
        <v>1047</v>
      </c>
      <c r="G747" t="s">
        <v>1047</v>
      </c>
      <c r="H747">
        <v>1</v>
      </c>
      <c r="I747">
        <v>1</v>
      </c>
      <c r="J747" t="s">
        <v>1371</v>
      </c>
      <c r="O747" t="s">
        <v>29</v>
      </c>
      <c r="P747">
        <v>127.47</v>
      </c>
    </row>
    <row r="748" spans="1:16" x14ac:dyDescent="0.25">
      <c r="A748" s="181">
        <v>39030</v>
      </c>
      <c r="B748" s="181" t="s">
        <v>750</v>
      </c>
      <c r="C748">
        <v>39030</v>
      </c>
      <c r="D748" t="s">
        <v>750</v>
      </c>
      <c r="E748" t="s">
        <v>750</v>
      </c>
      <c r="F748" t="s">
        <v>1047</v>
      </c>
      <c r="G748" t="s">
        <v>1047</v>
      </c>
      <c r="H748">
        <v>1</v>
      </c>
      <c r="I748">
        <v>1</v>
      </c>
      <c r="J748" t="s">
        <v>1371</v>
      </c>
      <c r="O748" t="s">
        <v>29</v>
      </c>
      <c r="P748">
        <v>121.77</v>
      </c>
    </row>
    <row r="749" spans="1:16" x14ac:dyDescent="0.25">
      <c r="A749" s="181">
        <v>39035</v>
      </c>
      <c r="B749" s="181" t="s">
        <v>751</v>
      </c>
      <c r="C749">
        <v>39035</v>
      </c>
      <c r="D749" t="s">
        <v>751</v>
      </c>
      <c r="E749" t="s">
        <v>751</v>
      </c>
      <c r="F749" t="s">
        <v>1047</v>
      </c>
      <c r="G749" t="s">
        <v>1047</v>
      </c>
      <c r="H749">
        <v>1</v>
      </c>
      <c r="I749">
        <v>1</v>
      </c>
      <c r="J749" t="s">
        <v>1371</v>
      </c>
      <c r="O749" t="s">
        <v>29</v>
      </c>
      <c r="P749">
        <v>187.34</v>
      </c>
    </row>
    <row r="750" spans="1:16" x14ac:dyDescent="0.25">
      <c r="A750" s="181">
        <v>39040</v>
      </c>
      <c r="B750" s="181" t="s">
        <v>752</v>
      </c>
      <c r="C750">
        <v>39040</v>
      </c>
      <c r="D750" t="s">
        <v>752</v>
      </c>
      <c r="E750" t="s">
        <v>752</v>
      </c>
      <c r="F750" t="s">
        <v>1047</v>
      </c>
      <c r="G750" t="s">
        <v>1047</v>
      </c>
      <c r="H750">
        <v>1</v>
      </c>
      <c r="I750">
        <v>1</v>
      </c>
      <c r="J750" t="s">
        <v>1065</v>
      </c>
      <c r="O750" t="s">
        <v>29</v>
      </c>
      <c r="P750">
        <v>170</v>
      </c>
    </row>
    <row r="751" spans="1:16" x14ac:dyDescent="0.25">
      <c r="A751" s="181">
        <v>39045</v>
      </c>
      <c r="B751" s="181" t="s">
        <v>538</v>
      </c>
      <c r="C751">
        <v>39045</v>
      </c>
      <c r="D751" t="s">
        <v>538</v>
      </c>
      <c r="E751" t="s">
        <v>538</v>
      </c>
      <c r="F751" t="s">
        <v>1047</v>
      </c>
      <c r="G751" t="s">
        <v>1047</v>
      </c>
      <c r="H751">
        <v>1</v>
      </c>
      <c r="I751">
        <v>1</v>
      </c>
      <c r="J751" t="s">
        <v>1371</v>
      </c>
      <c r="O751" t="s">
        <v>29</v>
      </c>
      <c r="P751">
        <v>4.47</v>
      </c>
    </row>
    <row r="752" spans="1:16" x14ac:dyDescent="0.25">
      <c r="A752" s="181">
        <v>39050</v>
      </c>
      <c r="B752" s="181" t="s">
        <v>753</v>
      </c>
      <c r="C752">
        <v>39050</v>
      </c>
      <c r="D752" t="s">
        <v>753</v>
      </c>
      <c r="E752" t="s">
        <v>753</v>
      </c>
      <c r="F752" t="s">
        <v>1047</v>
      </c>
      <c r="G752" t="s">
        <v>1047</v>
      </c>
      <c r="H752">
        <v>1</v>
      </c>
      <c r="I752">
        <v>1</v>
      </c>
      <c r="J752" t="s">
        <v>1371</v>
      </c>
      <c r="O752" t="s">
        <v>29</v>
      </c>
      <c r="P752">
        <v>0.22</v>
      </c>
    </row>
    <row r="753" spans="1:16" x14ac:dyDescent="0.25">
      <c r="A753" s="181">
        <v>39055</v>
      </c>
      <c r="B753" s="181" t="s">
        <v>980</v>
      </c>
      <c r="C753">
        <v>39055</v>
      </c>
      <c r="D753" t="s">
        <v>1424</v>
      </c>
      <c r="E753" t="s">
        <v>1424</v>
      </c>
      <c r="F753" t="s">
        <v>1047</v>
      </c>
      <c r="G753" t="s">
        <v>1047</v>
      </c>
      <c r="H753">
        <v>1</v>
      </c>
      <c r="I753">
        <v>1</v>
      </c>
      <c r="J753" t="s">
        <v>1371</v>
      </c>
      <c r="O753" t="s">
        <v>29</v>
      </c>
      <c r="P753">
        <v>0.47</v>
      </c>
    </row>
    <row r="754" spans="1:16" x14ac:dyDescent="0.25">
      <c r="A754" s="181">
        <v>39061</v>
      </c>
      <c r="B754" s="181" t="s">
        <v>755</v>
      </c>
      <c r="C754">
        <v>39061</v>
      </c>
      <c r="D754" t="s">
        <v>755</v>
      </c>
      <c r="E754" t="s">
        <v>755</v>
      </c>
      <c r="F754" t="s">
        <v>1047</v>
      </c>
      <c r="G754" t="s">
        <v>1047</v>
      </c>
      <c r="H754">
        <v>1</v>
      </c>
      <c r="I754">
        <v>1</v>
      </c>
      <c r="J754" t="s">
        <v>1371</v>
      </c>
      <c r="O754" t="s">
        <v>29</v>
      </c>
      <c r="P754">
        <v>10.130000000000001</v>
      </c>
    </row>
    <row r="755" spans="1:16" x14ac:dyDescent="0.25">
      <c r="A755" s="181">
        <v>39065</v>
      </c>
      <c r="B755" s="181" t="s">
        <v>756</v>
      </c>
      <c r="C755">
        <v>39065</v>
      </c>
      <c r="D755" t="s">
        <v>1483</v>
      </c>
      <c r="E755" t="s">
        <v>1483</v>
      </c>
      <c r="F755" t="s">
        <v>1047</v>
      </c>
      <c r="G755" t="s">
        <v>1047</v>
      </c>
      <c r="H755">
        <v>1</v>
      </c>
      <c r="I755">
        <v>1</v>
      </c>
      <c r="J755" t="s">
        <v>1371</v>
      </c>
      <c r="O755" t="s">
        <v>29</v>
      </c>
      <c r="P755">
        <v>3.16</v>
      </c>
    </row>
    <row r="756" spans="1:16" x14ac:dyDescent="0.25">
      <c r="A756" s="181">
        <v>39070</v>
      </c>
      <c r="B756" s="181" t="s">
        <v>541</v>
      </c>
      <c r="C756">
        <v>39070</v>
      </c>
      <c r="D756" t="s">
        <v>541</v>
      </c>
      <c r="E756" t="s">
        <v>541</v>
      </c>
      <c r="F756" t="s">
        <v>1047</v>
      </c>
      <c r="G756" t="s">
        <v>1047</v>
      </c>
      <c r="H756">
        <v>1</v>
      </c>
      <c r="I756">
        <v>1</v>
      </c>
      <c r="J756" t="s">
        <v>1371</v>
      </c>
      <c r="O756" t="s">
        <v>29</v>
      </c>
      <c r="P756">
        <v>1.01</v>
      </c>
    </row>
    <row r="757" spans="1:16" x14ac:dyDescent="0.25">
      <c r="A757" s="181">
        <v>39075</v>
      </c>
      <c r="B757" s="181" t="s">
        <v>757</v>
      </c>
      <c r="C757">
        <v>39075</v>
      </c>
      <c r="D757" t="s">
        <v>757</v>
      </c>
      <c r="E757" t="s">
        <v>757</v>
      </c>
      <c r="F757" t="s">
        <v>1047</v>
      </c>
      <c r="G757" t="s">
        <v>1047</v>
      </c>
      <c r="H757">
        <v>1</v>
      </c>
      <c r="I757">
        <v>1</v>
      </c>
      <c r="J757" t="s">
        <v>1371</v>
      </c>
      <c r="O757" t="s">
        <v>29</v>
      </c>
      <c r="P757">
        <v>14.89</v>
      </c>
    </row>
    <row r="758" spans="1:16" x14ac:dyDescent="0.25">
      <c r="A758" s="220">
        <v>39076</v>
      </c>
      <c r="B758" t="s">
        <v>1576</v>
      </c>
      <c r="C758" t="s">
        <v>1577</v>
      </c>
      <c r="D758" t="s">
        <v>1576</v>
      </c>
      <c r="E758" t="s">
        <v>1576</v>
      </c>
      <c r="F758" t="s">
        <v>1047</v>
      </c>
      <c r="G758" t="s">
        <v>1047</v>
      </c>
      <c r="H758">
        <v>1</v>
      </c>
      <c r="I758">
        <v>1</v>
      </c>
      <c r="J758" t="s">
        <v>32</v>
      </c>
      <c r="O758" t="s">
        <v>29</v>
      </c>
      <c r="P758">
        <v>0</v>
      </c>
    </row>
    <row r="759" spans="1:16" x14ac:dyDescent="0.25">
      <c r="A759" s="181">
        <v>39080</v>
      </c>
      <c r="B759" s="181" t="s">
        <v>558</v>
      </c>
      <c r="C759">
        <v>39080</v>
      </c>
      <c r="D759" t="s">
        <v>558</v>
      </c>
      <c r="E759" t="s">
        <v>558</v>
      </c>
      <c r="F759" t="s">
        <v>1047</v>
      </c>
      <c r="G759" t="s">
        <v>1047</v>
      </c>
      <c r="H759">
        <v>1</v>
      </c>
      <c r="I759">
        <v>1</v>
      </c>
      <c r="J759" t="s">
        <v>1371</v>
      </c>
      <c r="O759" t="s">
        <v>29</v>
      </c>
      <c r="P759">
        <v>13.2</v>
      </c>
    </row>
    <row r="760" spans="1:16" x14ac:dyDescent="0.25">
      <c r="A760" s="181">
        <v>39085</v>
      </c>
      <c r="B760" s="181" t="s">
        <v>559</v>
      </c>
      <c r="C760">
        <v>39085</v>
      </c>
      <c r="D760" t="s">
        <v>559</v>
      </c>
      <c r="E760" t="s">
        <v>559</v>
      </c>
      <c r="F760" t="s">
        <v>1047</v>
      </c>
      <c r="G760" t="s">
        <v>1047</v>
      </c>
      <c r="H760">
        <v>1</v>
      </c>
      <c r="I760">
        <v>1</v>
      </c>
      <c r="J760" t="s">
        <v>1371</v>
      </c>
      <c r="O760" t="s">
        <v>29</v>
      </c>
      <c r="P760">
        <v>9.41</v>
      </c>
    </row>
    <row r="761" spans="1:16" x14ac:dyDescent="0.25">
      <c r="A761" s="181">
        <v>39090</v>
      </c>
      <c r="B761" s="181" t="s">
        <v>758</v>
      </c>
      <c r="C761">
        <v>39090</v>
      </c>
      <c r="D761" t="s">
        <v>758</v>
      </c>
      <c r="E761" t="s">
        <v>758</v>
      </c>
      <c r="F761" t="s">
        <v>1047</v>
      </c>
      <c r="G761" t="s">
        <v>1047</v>
      </c>
      <c r="H761">
        <v>1</v>
      </c>
      <c r="I761">
        <v>1</v>
      </c>
      <c r="J761" t="s">
        <v>1371</v>
      </c>
      <c r="O761" t="s">
        <v>29</v>
      </c>
      <c r="P761">
        <v>0.98</v>
      </c>
    </row>
    <row r="762" spans="1:16" x14ac:dyDescent="0.25">
      <c r="A762" s="181">
        <v>39095</v>
      </c>
      <c r="B762" s="181" t="s">
        <v>563</v>
      </c>
      <c r="C762">
        <v>39095</v>
      </c>
      <c r="D762" t="s">
        <v>563</v>
      </c>
      <c r="E762" t="s">
        <v>563</v>
      </c>
      <c r="F762" t="s">
        <v>1047</v>
      </c>
      <c r="G762" t="s">
        <v>1047</v>
      </c>
      <c r="H762">
        <v>1</v>
      </c>
      <c r="I762">
        <v>1</v>
      </c>
      <c r="J762" t="s">
        <v>1371</v>
      </c>
      <c r="O762" t="s">
        <v>29</v>
      </c>
      <c r="P762">
        <v>2.33</v>
      </c>
    </row>
    <row r="763" spans="1:16" x14ac:dyDescent="0.25">
      <c r="A763" s="181">
        <v>50110</v>
      </c>
      <c r="B763" s="181" t="s">
        <v>796</v>
      </c>
    </row>
    <row r="764" spans="1:16" x14ac:dyDescent="0.25">
      <c r="A764" s="181">
        <v>40030</v>
      </c>
      <c r="B764" s="181" t="s">
        <v>536</v>
      </c>
      <c r="C764">
        <v>40030</v>
      </c>
      <c r="D764" t="s">
        <v>536</v>
      </c>
      <c r="E764" t="s">
        <v>536</v>
      </c>
      <c r="F764" t="s">
        <v>1047</v>
      </c>
      <c r="G764" t="s">
        <v>1047</v>
      </c>
      <c r="H764">
        <v>1</v>
      </c>
      <c r="I764">
        <v>1</v>
      </c>
      <c r="J764" t="s">
        <v>32</v>
      </c>
      <c r="O764" t="s">
        <v>29</v>
      </c>
      <c r="P764">
        <v>1.65</v>
      </c>
    </row>
    <row r="765" spans="1:16" x14ac:dyDescent="0.25">
      <c r="A765" s="181">
        <v>40040</v>
      </c>
      <c r="B765" s="181" t="s">
        <v>537</v>
      </c>
      <c r="C765">
        <v>40040</v>
      </c>
      <c r="D765" t="s">
        <v>537</v>
      </c>
      <c r="E765" t="s">
        <v>537</v>
      </c>
      <c r="F765" t="s">
        <v>1047</v>
      </c>
      <c r="G765" t="s">
        <v>1047</v>
      </c>
      <c r="H765">
        <v>1</v>
      </c>
      <c r="I765">
        <v>1</v>
      </c>
      <c r="J765" t="s">
        <v>32</v>
      </c>
      <c r="O765" t="s">
        <v>29</v>
      </c>
      <c r="P765">
        <v>1.45</v>
      </c>
    </row>
    <row r="766" spans="1:16" x14ac:dyDescent="0.25">
      <c r="A766" s="181">
        <v>40060</v>
      </c>
      <c r="B766" s="181" t="s">
        <v>759</v>
      </c>
      <c r="C766">
        <v>40060</v>
      </c>
      <c r="D766" t="s">
        <v>1572</v>
      </c>
      <c r="E766" t="s">
        <v>1572</v>
      </c>
      <c r="F766" t="s">
        <v>1047</v>
      </c>
      <c r="G766" t="s">
        <v>1047</v>
      </c>
      <c r="H766">
        <v>1</v>
      </c>
      <c r="I766">
        <v>1</v>
      </c>
      <c r="J766" t="s">
        <v>32</v>
      </c>
      <c r="O766" t="s">
        <v>29</v>
      </c>
      <c r="P766">
        <v>20.03</v>
      </c>
    </row>
    <row r="767" spans="1:16" x14ac:dyDescent="0.25">
      <c r="A767" s="181">
        <v>40070</v>
      </c>
      <c r="B767" s="181" t="s">
        <v>760</v>
      </c>
      <c r="C767">
        <v>40070</v>
      </c>
      <c r="D767" t="s">
        <v>760</v>
      </c>
      <c r="E767" t="s">
        <v>760</v>
      </c>
      <c r="F767" t="s">
        <v>1047</v>
      </c>
      <c r="G767" t="s">
        <v>1047</v>
      </c>
      <c r="H767">
        <v>1</v>
      </c>
      <c r="I767">
        <v>1</v>
      </c>
      <c r="J767" t="s">
        <v>32</v>
      </c>
      <c r="O767" t="s">
        <v>29</v>
      </c>
      <c r="P767">
        <v>7.51</v>
      </c>
    </row>
    <row r="768" spans="1:16" x14ac:dyDescent="0.25">
      <c r="A768" s="181">
        <v>40080</v>
      </c>
      <c r="B768" s="181" t="s">
        <v>761</v>
      </c>
      <c r="C768">
        <v>40080</v>
      </c>
      <c r="D768" t="s">
        <v>761</v>
      </c>
      <c r="E768" t="s">
        <v>761</v>
      </c>
      <c r="F768" t="s">
        <v>1047</v>
      </c>
      <c r="G768" t="s">
        <v>1047</v>
      </c>
      <c r="H768">
        <v>1</v>
      </c>
      <c r="I768">
        <v>1</v>
      </c>
      <c r="J768" t="s">
        <v>32</v>
      </c>
      <c r="O768" t="s">
        <v>29</v>
      </c>
      <c r="P768">
        <v>12.89</v>
      </c>
    </row>
    <row r="769" spans="1:16" x14ac:dyDescent="0.25">
      <c r="A769" s="181">
        <v>40130</v>
      </c>
      <c r="B769" s="181" t="s">
        <v>539</v>
      </c>
      <c r="C769">
        <v>40130</v>
      </c>
      <c r="D769" t="s">
        <v>539</v>
      </c>
      <c r="E769" t="s">
        <v>539</v>
      </c>
      <c r="F769" t="s">
        <v>1047</v>
      </c>
      <c r="G769" t="s">
        <v>1047</v>
      </c>
      <c r="H769">
        <v>1</v>
      </c>
      <c r="I769">
        <v>1</v>
      </c>
      <c r="J769" t="s">
        <v>32</v>
      </c>
      <c r="O769" t="s">
        <v>29</v>
      </c>
      <c r="P769">
        <v>6.37</v>
      </c>
    </row>
    <row r="770" spans="1:16" x14ac:dyDescent="0.25">
      <c r="A770" s="181">
        <v>40150</v>
      </c>
      <c r="B770" s="181" t="s">
        <v>540</v>
      </c>
    </row>
    <row r="771" spans="1:16" x14ac:dyDescent="0.25">
      <c r="A771" s="181">
        <v>40190</v>
      </c>
      <c r="B771" s="181" t="s">
        <v>762</v>
      </c>
      <c r="C771">
        <v>40190</v>
      </c>
      <c r="D771" t="s">
        <v>1566</v>
      </c>
      <c r="E771" t="s">
        <v>1566</v>
      </c>
      <c r="F771" t="s">
        <v>1047</v>
      </c>
      <c r="G771" t="s">
        <v>1047</v>
      </c>
      <c r="H771">
        <v>1</v>
      </c>
      <c r="I771">
        <v>1</v>
      </c>
      <c r="J771" t="s">
        <v>32</v>
      </c>
      <c r="O771" t="s">
        <v>29</v>
      </c>
      <c r="P771">
        <v>5.33</v>
      </c>
    </row>
    <row r="772" spans="1:16" x14ac:dyDescent="0.25">
      <c r="A772" s="181">
        <v>40200</v>
      </c>
      <c r="B772" s="181" t="s">
        <v>763</v>
      </c>
      <c r="C772">
        <v>40200</v>
      </c>
      <c r="D772" t="s">
        <v>1567</v>
      </c>
      <c r="E772" t="s">
        <v>1567</v>
      </c>
      <c r="F772" t="s">
        <v>1047</v>
      </c>
      <c r="G772" t="s">
        <v>1047</v>
      </c>
      <c r="H772">
        <v>1</v>
      </c>
      <c r="I772">
        <v>1</v>
      </c>
      <c r="J772" t="s">
        <v>32</v>
      </c>
      <c r="O772" t="s">
        <v>29</v>
      </c>
      <c r="P772">
        <v>7.71</v>
      </c>
    </row>
    <row r="773" spans="1:16" x14ac:dyDescent="0.25">
      <c r="A773" s="181">
        <v>40205</v>
      </c>
      <c r="B773" s="181" t="s">
        <v>764</v>
      </c>
      <c r="C773">
        <v>40205</v>
      </c>
      <c r="D773" t="s">
        <v>1568</v>
      </c>
      <c r="E773" t="s">
        <v>1568</v>
      </c>
      <c r="F773" t="s">
        <v>1047</v>
      </c>
      <c r="G773" t="s">
        <v>1047</v>
      </c>
      <c r="H773">
        <v>1</v>
      </c>
      <c r="I773">
        <v>1</v>
      </c>
      <c r="J773" t="s">
        <v>32</v>
      </c>
      <c r="O773" t="s">
        <v>29</v>
      </c>
      <c r="P773">
        <v>7.52</v>
      </c>
    </row>
    <row r="774" spans="1:16" x14ac:dyDescent="0.25">
      <c r="A774" s="181">
        <v>40210</v>
      </c>
      <c r="B774" s="181" t="s">
        <v>765</v>
      </c>
      <c r="C774">
        <v>40210</v>
      </c>
      <c r="D774" t="s">
        <v>765</v>
      </c>
      <c r="E774" t="s">
        <v>765</v>
      </c>
      <c r="F774" t="s">
        <v>1047</v>
      </c>
      <c r="G774" t="s">
        <v>1047</v>
      </c>
      <c r="H774">
        <v>1</v>
      </c>
      <c r="I774">
        <v>1</v>
      </c>
      <c r="J774" t="s">
        <v>32</v>
      </c>
      <c r="O774" t="s">
        <v>29</v>
      </c>
      <c r="P774">
        <v>10.27</v>
      </c>
    </row>
    <row r="775" spans="1:16" x14ac:dyDescent="0.25">
      <c r="A775" s="181">
        <v>40230</v>
      </c>
      <c r="B775" s="181" t="s">
        <v>766</v>
      </c>
    </row>
    <row r="776" spans="1:16" x14ac:dyDescent="0.25">
      <c r="A776" s="181">
        <v>40240</v>
      </c>
      <c r="B776" s="181" t="s">
        <v>767</v>
      </c>
      <c r="C776">
        <v>40240</v>
      </c>
      <c r="D776" t="s">
        <v>1556</v>
      </c>
      <c r="E776" t="s">
        <v>1556</v>
      </c>
      <c r="F776" t="s">
        <v>1047</v>
      </c>
      <c r="G776" t="s">
        <v>1047</v>
      </c>
      <c r="H776">
        <v>1</v>
      </c>
      <c r="I776">
        <v>1</v>
      </c>
      <c r="J776" t="s">
        <v>32</v>
      </c>
      <c r="O776" t="s">
        <v>29</v>
      </c>
      <c r="P776">
        <v>54.79</v>
      </c>
    </row>
    <row r="777" spans="1:16" x14ac:dyDescent="0.25">
      <c r="A777" s="181">
        <v>40250</v>
      </c>
      <c r="B777" s="181" t="s">
        <v>542</v>
      </c>
      <c r="C777">
        <v>40250</v>
      </c>
      <c r="D777" t="s">
        <v>542</v>
      </c>
      <c r="E777" t="s">
        <v>542</v>
      </c>
      <c r="F777" t="s">
        <v>1047</v>
      </c>
      <c r="G777" t="s">
        <v>1047</v>
      </c>
      <c r="H777">
        <v>1</v>
      </c>
      <c r="I777">
        <v>1</v>
      </c>
      <c r="J777" t="s">
        <v>32</v>
      </c>
      <c r="O777" t="s">
        <v>29</v>
      </c>
      <c r="P777">
        <v>12.67</v>
      </c>
    </row>
    <row r="778" spans="1:16" x14ac:dyDescent="0.25">
      <c r="A778" s="181">
        <v>40260</v>
      </c>
      <c r="B778" s="181" t="s">
        <v>543</v>
      </c>
      <c r="C778">
        <v>40260</v>
      </c>
      <c r="D778" t="s">
        <v>543</v>
      </c>
      <c r="E778" t="s">
        <v>543</v>
      </c>
      <c r="F778" t="s">
        <v>1047</v>
      </c>
      <c r="G778" t="s">
        <v>1047</v>
      </c>
      <c r="H778">
        <v>1</v>
      </c>
      <c r="I778">
        <v>1</v>
      </c>
      <c r="J778" t="s">
        <v>32</v>
      </c>
      <c r="O778" t="s">
        <v>29</v>
      </c>
      <c r="P778">
        <v>0</v>
      </c>
    </row>
    <row r="779" spans="1:16" x14ac:dyDescent="0.25">
      <c r="A779" s="181">
        <v>40270</v>
      </c>
      <c r="B779" s="181" t="s">
        <v>544</v>
      </c>
      <c r="C779">
        <v>40270</v>
      </c>
      <c r="D779" t="s">
        <v>544</v>
      </c>
      <c r="E779" t="s">
        <v>544</v>
      </c>
      <c r="F779" t="s">
        <v>1047</v>
      </c>
      <c r="G779" t="s">
        <v>1047</v>
      </c>
      <c r="H779">
        <v>1</v>
      </c>
      <c r="I779">
        <v>1</v>
      </c>
      <c r="J779" t="s">
        <v>32</v>
      </c>
      <c r="O779" t="s">
        <v>29</v>
      </c>
      <c r="P779">
        <v>8.4499999999999993</v>
      </c>
    </row>
    <row r="780" spans="1:16" x14ac:dyDescent="0.25">
      <c r="A780" s="181">
        <v>40290</v>
      </c>
      <c r="B780" s="181" t="s">
        <v>768</v>
      </c>
      <c r="C780">
        <v>40290</v>
      </c>
      <c r="D780" t="s">
        <v>1579</v>
      </c>
      <c r="E780" t="s">
        <v>1579</v>
      </c>
      <c r="F780" t="s">
        <v>1047</v>
      </c>
      <c r="G780" t="s">
        <v>1047</v>
      </c>
      <c r="H780">
        <v>1</v>
      </c>
      <c r="I780">
        <v>1</v>
      </c>
      <c r="J780" t="s">
        <v>32</v>
      </c>
      <c r="O780" t="s">
        <v>29</v>
      </c>
      <c r="P780">
        <v>10.85</v>
      </c>
    </row>
    <row r="781" spans="1:16" x14ac:dyDescent="0.25">
      <c r="A781" s="181">
        <v>40300</v>
      </c>
      <c r="B781" s="181" t="s">
        <v>769</v>
      </c>
      <c r="C781">
        <v>40300</v>
      </c>
      <c r="D781" t="s">
        <v>1578</v>
      </c>
      <c r="E781" t="s">
        <v>1578</v>
      </c>
      <c r="F781" t="s">
        <v>1047</v>
      </c>
      <c r="G781" t="s">
        <v>1047</v>
      </c>
      <c r="H781">
        <v>1</v>
      </c>
      <c r="I781">
        <v>1</v>
      </c>
      <c r="J781" t="s">
        <v>32</v>
      </c>
      <c r="O781" t="s">
        <v>29</v>
      </c>
      <c r="P781">
        <v>5.87</v>
      </c>
    </row>
    <row r="782" spans="1:16" x14ac:dyDescent="0.25">
      <c r="A782" s="181">
        <v>40310</v>
      </c>
      <c r="B782" s="181" t="s">
        <v>545</v>
      </c>
      <c r="C782">
        <v>40310</v>
      </c>
      <c r="D782" t="s">
        <v>545</v>
      </c>
      <c r="E782" t="s">
        <v>545</v>
      </c>
      <c r="F782" t="s">
        <v>1047</v>
      </c>
      <c r="G782" t="s">
        <v>1047</v>
      </c>
      <c r="H782">
        <v>1</v>
      </c>
      <c r="I782">
        <v>1</v>
      </c>
      <c r="J782" t="s">
        <v>32</v>
      </c>
      <c r="O782" t="s">
        <v>29</v>
      </c>
      <c r="P782">
        <v>9.4499999999999993</v>
      </c>
    </row>
    <row r="783" spans="1:16" x14ac:dyDescent="0.25">
      <c r="A783" s="181">
        <v>50080</v>
      </c>
      <c r="B783" s="181" t="s">
        <v>793</v>
      </c>
      <c r="C783">
        <v>40320</v>
      </c>
      <c r="D783" t="s">
        <v>1564</v>
      </c>
      <c r="E783" t="s">
        <v>1564</v>
      </c>
      <c r="F783" t="s">
        <v>1047</v>
      </c>
      <c r="G783" t="s">
        <v>1047</v>
      </c>
      <c r="H783">
        <v>1</v>
      </c>
      <c r="I783">
        <v>1</v>
      </c>
      <c r="J783" t="s">
        <v>32</v>
      </c>
      <c r="O783" t="s">
        <v>29</v>
      </c>
      <c r="P783">
        <v>25</v>
      </c>
    </row>
    <row r="784" spans="1:16" x14ac:dyDescent="0.25">
      <c r="A784" s="181">
        <v>40330</v>
      </c>
      <c r="B784" s="181" t="s">
        <v>546</v>
      </c>
      <c r="C784">
        <v>40330</v>
      </c>
      <c r="D784" t="s">
        <v>546</v>
      </c>
      <c r="E784" t="s">
        <v>546</v>
      </c>
      <c r="F784" t="s">
        <v>1047</v>
      </c>
      <c r="G784" t="s">
        <v>1047</v>
      </c>
      <c r="H784">
        <v>1</v>
      </c>
      <c r="I784">
        <v>1</v>
      </c>
      <c r="J784" t="s">
        <v>32</v>
      </c>
      <c r="O784" t="s">
        <v>29</v>
      </c>
      <c r="P784">
        <v>2.23</v>
      </c>
    </row>
    <row r="785" spans="1:16" x14ac:dyDescent="0.25">
      <c r="A785" s="181">
        <v>40340</v>
      </c>
      <c r="B785" s="181" t="s">
        <v>547</v>
      </c>
      <c r="C785">
        <v>40340</v>
      </c>
      <c r="D785" t="s">
        <v>547</v>
      </c>
      <c r="E785" t="s">
        <v>547</v>
      </c>
      <c r="F785" t="s">
        <v>1047</v>
      </c>
      <c r="G785" t="s">
        <v>1047</v>
      </c>
      <c r="H785">
        <v>1</v>
      </c>
      <c r="I785">
        <v>1</v>
      </c>
      <c r="J785" t="s">
        <v>32</v>
      </c>
      <c r="O785" t="s">
        <v>29</v>
      </c>
      <c r="P785">
        <v>4.43</v>
      </c>
    </row>
    <row r="786" spans="1:16" x14ac:dyDescent="0.25">
      <c r="A786" s="181">
        <v>40350</v>
      </c>
      <c r="B786" s="181" t="s">
        <v>770</v>
      </c>
      <c r="C786">
        <v>40350</v>
      </c>
      <c r="D786" t="s">
        <v>1569</v>
      </c>
      <c r="E786" t="s">
        <v>1569</v>
      </c>
      <c r="F786" t="s">
        <v>1047</v>
      </c>
      <c r="G786" t="s">
        <v>1047</v>
      </c>
      <c r="H786">
        <v>1</v>
      </c>
      <c r="I786">
        <v>1</v>
      </c>
      <c r="J786" t="s">
        <v>32</v>
      </c>
      <c r="O786" t="s">
        <v>29</v>
      </c>
      <c r="P786">
        <v>4.54</v>
      </c>
    </row>
    <row r="787" spans="1:16" x14ac:dyDescent="0.25">
      <c r="A787" s="181">
        <v>40360</v>
      </c>
      <c r="B787" s="181" t="s">
        <v>548</v>
      </c>
    </row>
    <row r="788" spans="1:16" x14ac:dyDescent="0.25">
      <c r="A788" s="181">
        <v>40370</v>
      </c>
      <c r="B788" s="181" t="s">
        <v>549</v>
      </c>
    </row>
    <row r="789" spans="1:16" x14ac:dyDescent="0.25">
      <c r="A789" s="181">
        <v>40380</v>
      </c>
      <c r="B789" s="181" t="s">
        <v>550</v>
      </c>
    </row>
    <row r="790" spans="1:16" x14ac:dyDescent="0.25">
      <c r="A790" s="181">
        <v>40400</v>
      </c>
      <c r="B790" s="181" t="s">
        <v>551</v>
      </c>
      <c r="C790">
        <v>40400</v>
      </c>
      <c r="D790" t="s">
        <v>551</v>
      </c>
      <c r="E790" t="s">
        <v>551</v>
      </c>
      <c r="F790" t="s">
        <v>1047</v>
      </c>
      <c r="G790" t="s">
        <v>1047</v>
      </c>
      <c r="H790">
        <v>1</v>
      </c>
      <c r="I790">
        <v>1</v>
      </c>
      <c r="J790" t="s">
        <v>32</v>
      </c>
      <c r="O790" t="s">
        <v>29</v>
      </c>
      <c r="P790">
        <v>18.5</v>
      </c>
    </row>
    <row r="791" spans="1:16" x14ac:dyDescent="0.25">
      <c r="A791" s="181">
        <v>40410</v>
      </c>
      <c r="B791" s="181" t="s">
        <v>771</v>
      </c>
      <c r="C791">
        <v>40410</v>
      </c>
      <c r="D791" t="s">
        <v>1558</v>
      </c>
      <c r="E791" t="s">
        <v>1558</v>
      </c>
      <c r="F791" t="s">
        <v>1047</v>
      </c>
      <c r="G791" t="s">
        <v>1047</v>
      </c>
      <c r="H791">
        <v>1</v>
      </c>
      <c r="I791">
        <v>1</v>
      </c>
      <c r="J791" t="s">
        <v>32</v>
      </c>
      <c r="O791" t="s">
        <v>29</v>
      </c>
      <c r="P791">
        <v>8.15</v>
      </c>
    </row>
    <row r="792" spans="1:16" x14ac:dyDescent="0.25">
      <c r="A792" s="181">
        <v>40420</v>
      </c>
      <c r="B792" s="181" t="s">
        <v>772</v>
      </c>
    </row>
    <row r="793" spans="1:16" x14ac:dyDescent="0.25">
      <c r="A793" s="181">
        <v>40430</v>
      </c>
      <c r="B793" s="181" t="s">
        <v>773</v>
      </c>
    </row>
    <row r="794" spans="1:16" x14ac:dyDescent="0.25">
      <c r="A794" s="181">
        <v>40440</v>
      </c>
      <c r="B794" s="181" t="s">
        <v>552</v>
      </c>
    </row>
    <row r="795" spans="1:16" x14ac:dyDescent="0.25">
      <c r="A795" s="181">
        <v>40450</v>
      </c>
      <c r="B795" s="181" t="s">
        <v>553</v>
      </c>
    </row>
    <row r="796" spans="1:16" x14ac:dyDescent="0.25">
      <c r="A796" s="181">
        <v>40460</v>
      </c>
      <c r="B796" s="181" t="s">
        <v>554</v>
      </c>
      <c r="C796">
        <v>40460</v>
      </c>
      <c r="D796" t="s">
        <v>554</v>
      </c>
      <c r="E796" t="s">
        <v>554</v>
      </c>
      <c r="F796" t="s">
        <v>1047</v>
      </c>
      <c r="G796" t="s">
        <v>1047</v>
      </c>
      <c r="H796">
        <v>1</v>
      </c>
      <c r="I796">
        <v>1</v>
      </c>
      <c r="J796" t="s">
        <v>32</v>
      </c>
      <c r="O796" t="s">
        <v>29</v>
      </c>
      <c r="P796">
        <v>21.88</v>
      </c>
    </row>
    <row r="797" spans="1:16" x14ac:dyDescent="0.25">
      <c r="A797" s="181">
        <v>40470</v>
      </c>
      <c r="B797" s="181" t="s">
        <v>774</v>
      </c>
      <c r="C797">
        <v>40470</v>
      </c>
      <c r="D797" t="s">
        <v>774</v>
      </c>
      <c r="E797" t="s">
        <v>774</v>
      </c>
      <c r="F797" t="s">
        <v>1047</v>
      </c>
      <c r="G797" t="s">
        <v>1047</v>
      </c>
      <c r="H797">
        <v>1</v>
      </c>
      <c r="I797">
        <v>1</v>
      </c>
      <c r="J797" t="s">
        <v>32</v>
      </c>
      <c r="O797" t="s">
        <v>29</v>
      </c>
      <c r="P797">
        <v>96</v>
      </c>
    </row>
    <row r="798" spans="1:16" x14ac:dyDescent="0.25">
      <c r="A798" s="181">
        <v>40480</v>
      </c>
      <c r="B798" s="181" t="s">
        <v>555</v>
      </c>
      <c r="C798">
        <v>40480</v>
      </c>
      <c r="D798" t="s">
        <v>555</v>
      </c>
      <c r="E798" t="s">
        <v>555</v>
      </c>
      <c r="F798" t="s">
        <v>1047</v>
      </c>
      <c r="G798" t="s">
        <v>1047</v>
      </c>
      <c r="H798">
        <v>1</v>
      </c>
      <c r="I798">
        <v>1</v>
      </c>
      <c r="J798" t="s">
        <v>32</v>
      </c>
      <c r="O798" t="s">
        <v>29</v>
      </c>
      <c r="P798">
        <v>26.2</v>
      </c>
    </row>
    <row r="799" spans="1:16" x14ac:dyDescent="0.25">
      <c r="A799" s="181">
        <v>40490</v>
      </c>
      <c r="B799" s="181" t="s">
        <v>556</v>
      </c>
      <c r="C799">
        <v>40490</v>
      </c>
      <c r="D799" t="s">
        <v>556</v>
      </c>
      <c r="E799" t="s">
        <v>556</v>
      </c>
      <c r="F799" t="s">
        <v>1047</v>
      </c>
      <c r="G799" t="s">
        <v>1047</v>
      </c>
      <c r="H799">
        <v>1</v>
      </c>
      <c r="I799">
        <v>1</v>
      </c>
      <c r="J799" t="s">
        <v>32</v>
      </c>
      <c r="O799" t="s">
        <v>29</v>
      </c>
      <c r="P799">
        <v>6.29</v>
      </c>
    </row>
    <row r="800" spans="1:16" x14ac:dyDescent="0.25">
      <c r="A800" s="181">
        <v>40500</v>
      </c>
      <c r="B800" s="181" t="s">
        <v>775</v>
      </c>
      <c r="C800">
        <v>40500</v>
      </c>
      <c r="D800" t="s">
        <v>1571</v>
      </c>
      <c r="E800" t="s">
        <v>1571</v>
      </c>
      <c r="F800" t="s">
        <v>1047</v>
      </c>
      <c r="G800" t="s">
        <v>1047</v>
      </c>
      <c r="H800">
        <v>1</v>
      </c>
      <c r="I800">
        <v>1</v>
      </c>
      <c r="J800" t="s">
        <v>32</v>
      </c>
      <c r="O800" t="s">
        <v>29</v>
      </c>
      <c r="P800">
        <v>68.64</v>
      </c>
    </row>
    <row r="801" spans="1:16" x14ac:dyDescent="0.25">
      <c r="A801" s="181">
        <v>40510</v>
      </c>
      <c r="B801" s="181" t="s">
        <v>557</v>
      </c>
      <c r="C801">
        <v>40510</v>
      </c>
      <c r="D801" t="s">
        <v>557</v>
      </c>
      <c r="E801" t="s">
        <v>557</v>
      </c>
      <c r="F801" t="s">
        <v>1047</v>
      </c>
      <c r="G801" t="s">
        <v>1047</v>
      </c>
      <c r="H801">
        <v>1</v>
      </c>
      <c r="I801">
        <v>1</v>
      </c>
      <c r="J801" t="s">
        <v>32</v>
      </c>
      <c r="O801" t="s">
        <v>29</v>
      </c>
      <c r="P801">
        <v>19.190000000000001</v>
      </c>
    </row>
    <row r="802" spans="1:16" x14ac:dyDescent="0.25">
      <c r="A802">
        <v>40520</v>
      </c>
      <c r="B802" t="s">
        <v>1560</v>
      </c>
      <c r="C802">
        <v>40520</v>
      </c>
      <c r="D802" t="s">
        <v>1560</v>
      </c>
      <c r="E802" t="s">
        <v>1560</v>
      </c>
      <c r="F802" t="s">
        <v>1047</v>
      </c>
      <c r="G802" t="s">
        <v>1047</v>
      </c>
      <c r="H802">
        <v>1</v>
      </c>
      <c r="I802">
        <v>1</v>
      </c>
      <c r="J802" t="s">
        <v>32</v>
      </c>
      <c r="O802" t="s">
        <v>29</v>
      </c>
      <c r="P802">
        <v>0</v>
      </c>
    </row>
    <row r="803" spans="1:16" x14ac:dyDescent="0.25">
      <c r="A803" s="181">
        <v>40530</v>
      </c>
      <c r="B803" s="181" t="s">
        <v>776</v>
      </c>
      <c r="C803">
        <v>40540</v>
      </c>
      <c r="D803" t="s">
        <v>1559</v>
      </c>
      <c r="E803" t="s">
        <v>1559</v>
      </c>
      <c r="F803" t="s">
        <v>1047</v>
      </c>
      <c r="G803" t="s">
        <v>1047</v>
      </c>
      <c r="H803">
        <v>1</v>
      </c>
      <c r="I803">
        <v>1</v>
      </c>
      <c r="J803" t="s">
        <v>32</v>
      </c>
      <c r="O803" t="s">
        <v>29</v>
      </c>
      <c r="P803">
        <v>0</v>
      </c>
    </row>
    <row r="804" spans="1:16" x14ac:dyDescent="0.25">
      <c r="A804">
        <v>40550</v>
      </c>
      <c r="B804" t="s">
        <v>1570</v>
      </c>
      <c r="C804">
        <v>40550</v>
      </c>
      <c r="D804" t="s">
        <v>1570</v>
      </c>
      <c r="E804" t="s">
        <v>1570</v>
      </c>
      <c r="F804" t="s">
        <v>1047</v>
      </c>
      <c r="G804" t="s">
        <v>1047</v>
      </c>
      <c r="H804">
        <v>1</v>
      </c>
      <c r="I804">
        <v>1</v>
      </c>
      <c r="J804" t="s">
        <v>32</v>
      </c>
      <c r="O804" t="s">
        <v>29</v>
      </c>
      <c r="P804">
        <v>0</v>
      </c>
    </row>
    <row r="805" spans="1:16" x14ac:dyDescent="0.25">
      <c r="A805">
        <v>40560</v>
      </c>
      <c r="B805" t="s">
        <v>1575</v>
      </c>
      <c r="C805">
        <v>40560</v>
      </c>
      <c r="D805" t="s">
        <v>1575</v>
      </c>
      <c r="E805" t="s">
        <v>1575</v>
      </c>
      <c r="F805" t="s">
        <v>1047</v>
      </c>
      <c r="G805" t="s">
        <v>1047</v>
      </c>
      <c r="H805">
        <v>1</v>
      </c>
      <c r="I805">
        <v>1</v>
      </c>
      <c r="J805" t="s">
        <v>32</v>
      </c>
      <c r="O805" t="s">
        <v>29</v>
      </c>
      <c r="P805">
        <v>0</v>
      </c>
    </row>
    <row r="806" spans="1:16" x14ac:dyDescent="0.25">
      <c r="A806" s="181">
        <v>40590</v>
      </c>
      <c r="B806" s="181" t="s">
        <v>560</v>
      </c>
      <c r="C806">
        <v>40590</v>
      </c>
      <c r="D806" t="s">
        <v>560</v>
      </c>
      <c r="E806" t="s">
        <v>560</v>
      </c>
      <c r="F806" t="s">
        <v>1047</v>
      </c>
      <c r="G806" t="s">
        <v>1047</v>
      </c>
      <c r="H806">
        <v>1</v>
      </c>
      <c r="I806">
        <v>1</v>
      </c>
      <c r="J806" t="s">
        <v>32</v>
      </c>
      <c r="O806" t="s">
        <v>29</v>
      </c>
      <c r="P806">
        <v>20.399999999999999</v>
      </c>
    </row>
    <row r="807" spans="1:16" x14ac:dyDescent="0.25">
      <c r="A807" s="181">
        <v>40600</v>
      </c>
      <c r="B807" s="181" t="s">
        <v>777</v>
      </c>
      <c r="C807">
        <v>40600</v>
      </c>
      <c r="D807" t="s">
        <v>777</v>
      </c>
      <c r="E807" t="s">
        <v>777</v>
      </c>
      <c r="F807" t="s">
        <v>1047</v>
      </c>
      <c r="G807" t="s">
        <v>1047</v>
      </c>
      <c r="H807">
        <v>1</v>
      </c>
      <c r="I807">
        <v>1</v>
      </c>
      <c r="J807" t="s">
        <v>32</v>
      </c>
      <c r="O807" t="s">
        <v>29</v>
      </c>
      <c r="P807">
        <v>1.75</v>
      </c>
    </row>
    <row r="808" spans="1:16" x14ac:dyDescent="0.25">
      <c r="A808" s="181">
        <v>40620</v>
      </c>
      <c r="B808" s="181" t="s">
        <v>778</v>
      </c>
      <c r="C808">
        <v>40620</v>
      </c>
      <c r="D808" t="s">
        <v>1563</v>
      </c>
      <c r="E808" t="s">
        <v>1563</v>
      </c>
      <c r="F808" t="s">
        <v>1047</v>
      </c>
      <c r="G808" t="s">
        <v>1047</v>
      </c>
      <c r="H808">
        <v>1</v>
      </c>
      <c r="I808">
        <v>1</v>
      </c>
      <c r="J808" t="s">
        <v>32</v>
      </c>
      <c r="O808" t="s">
        <v>29</v>
      </c>
      <c r="P808">
        <v>3.12</v>
      </c>
    </row>
    <row r="809" spans="1:16" x14ac:dyDescent="0.25">
      <c r="A809" s="181">
        <v>40630</v>
      </c>
      <c r="B809" s="181" t="s">
        <v>779</v>
      </c>
      <c r="C809">
        <v>40630</v>
      </c>
      <c r="D809" t="s">
        <v>1574</v>
      </c>
      <c r="E809" t="s">
        <v>1574</v>
      </c>
      <c r="F809" t="s">
        <v>1047</v>
      </c>
      <c r="G809" t="s">
        <v>1047</v>
      </c>
      <c r="H809">
        <v>1</v>
      </c>
      <c r="I809">
        <v>1</v>
      </c>
      <c r="J809" t="s">
        <v>32</v>
      </c>
      <c r="O809" t="s">
        <v>29</v>
      </c>
      <c r="P809">
        <v>5.86</v>
      </c>
    </row>
    <row r="810" spans="1:16" x14ac:dyDescent="0.25">
      <c r="A810" s="181">
        <v>40640</v>
      </c>
      <c r="B810" s="181" t="s">
        <v>780</v>
      </c>
      <c r="C810">
        <v>40640</v>
      </c>
      <c r="D810" t="s">
        <v>780</v>
      </c>
      <c r="E810" t="s">
        <v>780</v>
      </c>
      <c r="F810" t="s">
        <v>1047</v>
      </c>
      <c r="G810" t="s">
        <v>1047</v>
      </c>
      <c r="H810">
        <v>1</v>
      </c>
      <c r="I810">
        <v>1</v>
      </c>
      <c r="J810" t="s">
        <v>32</v>
      </c>
      <c r="O810" t="s">
        <v>29</v>
      </c>
      <c r="P810">
        <v>8.6199999999999992</v>
      </c>
    </row>
    <row r="811" spans="1:16" x14ac:dyDescent="0.25">
      <c r="A811" s="181">
        <v>40650</v>
      </c>
      <c r="B811" s="181" t="s">
        <v>781</v>
      </c>
      <c r="C811">
        <v>40650</v>
      </c>
      <c r="D811" t="s">
        <v>1580</v>
      </c>
      <c r="E811" t="s">
        <v>1580</v>
      </c>
      <c r="F811" t="s">
        <v>1047</v>
      </c>
      <c r="G811" t="s">
        <v>1047</v>
      </c>
      <c r="H811">
        <v>1</v>
      </c>
      <c r="I811">
        <v>1</v>
      </c>
      <c r="J811" t="s">
        <v>32</v>
      </c>
      <c r="O811" t="s">
        <v>29</v>
      </c>
      <c r="P811">
        <v>9.27</v>
      </c>
    </row>
    <row r="812" spans="1:16" x14ac:dyDescent="0.25">
      <c r="A812" s="181">
        <v>40660</v>
      </c>
      <c r="B812" s="181" t="s">
        <v>782</v>
      </c>
      <c r="C812">
        <v>40660</v>
      </c>
      <c r="D812" t="s">
        <v>782</v>
      </c>
      <c r="E812" t="s">
        <v>782</v>
      </c>
      <c r="F812" t="s">
        <v>1047</v>
      </c>
      <c r="G812" t="s">
        <v>1047</v>
      </c>
      <c r="H812">
        <v>1</v>
      </c>
      <c r="I812">
        <v>1</v>
      </c>
      <c r="J812" t="s">
        <v>32</v>
      </c>
      <c r="O812" t="s">
        <v>29</v>
      </c>
      <c r="P812">
        <v>9.59</v>
      </c>
    </row>
    <row r="813" spans="1:16" x14ac:dyDescent="0.25">
      <c r="A813" s="181">
        <v>40670</v>
      </c>
      <c r="B813" s="181" t="s">
        <v>783</v>
      </c>
      <c r="C813">
        <v>40670</v>
      </c>
      <c r="D813" t="s">
        <v>783</v>
      </c>
      <c r="E813" t="s">
        <v>783</v>
      </c>
      <c r="F813" t="s">
        <v>1047</v>
      </c>
      <c r="G813" t="s">
        <v>1047</v>
      </c>
      <c r="H813">
        <v>1</v>
      </c>
      <c r="I813">
        <v>1</v>
      </c>
      <c r="J813" t="s">
        <v>32</v>
      </c>
      <c r="O813" t="s">
        <v>29</v>
      </c>
      <c r="P813">
        <v>8.24</v>
      </c>
    </row>
    <row r="814" spans="1:16" x14ac:dyDescent="0.25">
      <c r="A814">
        <v>40680</v>
      </c>
      <c r="B814" t="s">
        <v>1573</v>
      </c>
      <c r="C814">
        <v>40680</v>
      </c>
      <c r="D814" t="s">
        <v>1573</v>
      </c>
      <c r="E814" t="s">
        <v>1573</v>
      </c>
      <c r="F814" t="s">
        <v>1047</v>
      </c>
      <c r="G814" t="s">
        <v>1047</v>
      </c>
      <c r="H814">
        <v>1</v>
      </c>
      <c r="I814">
        <v>1</v>
      </c>
      <c r="J814" t="s">
        <v>32</v>
      </c>
      <c r="O814" t="s">
        <v>29</v>
      </c>
      <c r="P814">
        <v>0</v>
      </c>
    </row>
    <row r="815" spans="1:16" x14ac:dyDescent="0.25">
      <c r="A815" s="181">
        <v>40690</v>
      </c>
      <c r="B815" s="181" t="s">
        <v>561</v>
      </c>
      <c r="C815">
        <v>40690</v>
      </c>
      <c r="D815" t="s">
        <v>561</v>
      </c>
      <c r="E815" t="s">
        <v>561</v>
      </c>
      <c r="F815" t="s">
        <v>1047</v>
      </c>
      <c r="G815" t="s">
        <v>1047</v>
      </c>
      <c r="H815">
        <v>1</v>
      </c>
      <c r="I815">
        <v>1</v>
      </c>
      <c r="J815" t="s">
        <v>32</v>
      </c>
      <c r="O815" t="s">
        <v>29</v>
      </c>
      <c r="P815">
        <v>9.1</v>
      </c>
    </row>
    <row r="816" spans="1:16" x14ac:dyDescent="0.25">
      <c r="A816" s="181">
        <v>40700</v>
      </c>
      <c r="B816" s="181" t="s">
        <v>784</v>
      </c>
      <c r="C816">
        <v>40700</v>
      </c>
      <c r="D816" t="s">
        <v>784</v>
      </c>
      <c r="E816" t="s">
        <v>784</v>
      </c>
      <c r="F816" t="s">
        <v>1047</v>
      </c>
      <c r="G816" t="s">
        <v>1047</v>
      </c>
      <c r="H816">
        <v>1</v>
      </c>
      <c r="I816">
        <v>1</v>
      </c>
      <c r="J816" t="s">
        <v>32</v>
      </c>
      <c r="O816" t="s">
        <v>29</v>
      </c>
      <c r="P816">
        <v>13.83</v>
      </c>
    </row>
    <row r="817" spans="1:16" x14ac:dyDescent="0.25">
      <c r="A817" s="181">
        <v>40750</v>
      </c>
      <c r="B817" s="181" t="s">
        <v>785</v>
      </c>
      <c r="C817">
        <v>40750</v>
      </c>
      <c r="D817" t="s">
        <v>1557</v>
      </c>
      <c r="E817" t="s">
        <v>1557</v>
      </c>
      <c r="F817" t="s">
        <v>1047</v>
      </c>
      <c r="G817" t="s">
        <v>1047</v>
      </c>
      <c r="H817">
        <v>1</v>
      </c>
      <c r="I817">
        <v>1</v>
      </c>
      <c r="J817" t="s">
        <v>32</v>
      </c>
      <c r="O817" t="s">
        <v>29</v>
      </c>
      <c r="P817">
        <v>22.82</v>
      </c>
    </row>
    <row r="818" spans="1:16" x14ac:dyDescent="0.25">
      <c r="A818" s="181">
        <v>50000</v>
      </c>
      <c r="B818" s="181" t="s">
        <v>786</v>
      </c>
      <c r="C818">
        <v>50000</v>
      </c>
      <c r="D818" t="s">
        <v>1706</v>
      </c>
      <c r="E818" t="s">
        <v>1706</v>
      </c>
      <c r="F818" t="s">
        <v>1047</v>
      </c>
      <c r="G818" t="s">
        <v>1047</v>
      </c>
      <c r="H818">
        <v>1</v>
      </c>
      <c r="I818">
        <v>1</v>
      </c>
      <c r="J818" t="s">
        <v>1705</v>
      </c>
      <c r="O818" t="s">
        <v>29</v>
      </c>
      <c r="P818">
        <v>150.22</v>
      </c>
    </row>
    <row r="819" spans="1:16" x14ac:dyDescent="0.25">
      <c r="A819" s="181">
        <v>50005</v>
      </c>
      <c r="B819" s="181" t="s">
        <v>787</v>
      </c>
      <c r="C819">
        <v>50005</v>
      </c>
      <c r="D819" t="s">
        <v>1707</v>
      </c>
      <c r="E819" t="s">
        <v>1707</v>
      </c>
      <c r="F819" t="s">
        <v>1047</v>
      </c>
      <c r="G819" t="s">
        <v>1047</v>
      </c>
      <c r="H819">
        <v>1</v>
      </c>
      <c r="I819">
        <v>1</v>
      </c>
      <c r="J819" t="s">
        <v>1705</v>
      </c>
      <c r="O819" t="s">
        <v>29</v>
      </c>
      <c r="P819">
        <v>0</v>
      </c>
    </row>
    <row r="820" spans="1:16" x14ac:dyDescent="0.25">
      <c r="A820" s="181">
        <v>50010</v>
      </c>
      <c r="B820" s="181" t="s">
        <v>564</v>
      </c>
      <c r="C820">
        <v>50010</v>
      </c>
      <c r="D820" t="s">
        <v>564</v>
      </c>
      <c r="E820" t="s">
        <v>564</v>
      </c>
      <c r="F820" t="s">
        <v>1047</v>
      </c>
      <c r="G820" t="s">
        <v>1047</v>
      </c>
      <c r="H820">
        <v>1</v>
      </c>
      <c r="I820">
        <v>1</v>
      </c>
      <c r="J820" t="s">
        <v>1705</v>
      </c>
      <c r="O820" t="s">
        <v>29</v>
      </c>
      <c r="P820">
        <v>0.62</v>
      </c>
    </row>
    <row r="821" spans="1:16" x14ac:dyDescent="0.25">
      <c r="A821" s="181">
        <v>50020</v>
      </c>
      <c r="B821" s="181" t="s">
        <v>788</v>
      </c>
      <c r="C821">
        <v>50020</v>
      </c>
      <c r="D821" t="s">
        <v>788</v>
      </c>
      <c r="E821" t="s">
        <v>788</v>
      </c>
      <c r="F821" t="s">
        <v>1047</v>
      </c>
      <c r="G821" t="s">
        <v>1047</v>
      </c>
      <c r="H821">
        <v>1</v>
      </c>
      <c r="I821">
        <v>1</v>
      </c>
      <c r="J821" t="s">
        <v>1705</v>
      </c>
      <c r="O821" t="s">
        <v>29</v>
      </c>
      <c r="P821">
        <v>11.45</v>
      </c>
    </row>
    <row r="822" spans="1:16" x14ac:dyDescent="0.25">
      <c r="A822" s="181">
        <v>50030</v>
      </c>
      <c r="B822" s="181" t="s">
        <v>981</v>
      </c>
      <c r="C822">
        <v>50030</v>
      </c>
      <c r="D822" t="s">
        <v>981</v>
      </c>
      <c r="E822" t="s">
        <v>981</v>
      </c>
      <c r="F822" t="s">
        <v>1047</v>
      </c>
      <c r="G822" t="s">
        <v>1047</v>
      </c>
      <c r="H822">
        <v>1</v>
      </c>
      <c r="I822">
        <v>1</v>
      </c>
      <c r="J822" t="s">
        <v>1705</v>
      </c>
      <c r="O822" t="s">
        <v>29</v>
      </c>
      <c r="P822">
        <v>2.02</v>
      </c>
    </row>
    <row r="823" spans="1:16" x14ac:dyDescent="0.25">
      <c r="A823" s="181">
        <v>50035</v>
      </c>
      <c r="B823" s="181" t="s">
        <v>982</v>
      </c>
      <c r="C823">
        <v>50035</v>
      </c>
      <c r="D823" t="s">
        <v>1721</v>
      </c>
      <c r="E823" t="s">
        <v>1721</v>
      </c>
      <c r="F823" t="s">
        <v>1047</v>
      </c>
      <c r="G823" t="s">
        <v>1047</v>
      </c>
      <c r="H823">
        <v>1</v>
      </c>
      <c r="I823">
        <v>1</v>
      </c>
      <c r="J823" t="s">
        <v>1705</v>
      </c>
      <c r="O823" t="s">
        <v>29</v>
      </c>
      <c r="P823">
        <v>3.03</v>
      </c>
    </row>
    <row r="824" spans="1:16" x14ac:dyDescent="0.25">
      <c r="A824" s="181">
        <v>50040</v>
      </c>
      <c r="B824" s="181" t="s">
        <v>789</v>
      </c>
      <c r="C824">
        <v>50040</v>
      </c>
      <c r="D824" t="s">
        <v>789</v>
      </c>
      <c r="E824" t="s">
        <v>789</v>
      </c>
      <c r="F824" t="s">
        <v>1047</v>
      </c>
      <c r="G824" t="s">
        <v>1047</v>
      </c>
      <c r="H824">
        <v>1</v>
      </c>
      <c r="I824">
        <v>1</v>
      </c>
      <c r="J824" t="s">
        <v>1705</v>
      </c>
      <c r="O824" t="s">
        <v>29</v>
      </c>
      <c r="P824">
        <v>2.38</v>
      </c>
    </row>
    <row r="825" spans="1:16" x14ac:dyDescent="0.25">
      <c r="A825" s="181">
        <v>20340</v>
      </c>
      <c r="B825" s="216" t="s">
        <v>670</v>
      </c>
      <c r="C825">
        <v>20340</v>
      </c>
      <c r="D825" t="s">
        <v>1374</v>
      </c>
      <c r="E825" t="s">
        <v>1374</v>
      </c>
      <c r="F825" t="s">
        <v>1047</v>
      </c>
      <c r="G825" t="s">
        <v>1047</v>
      </c>
      <c r="H825">
        <v>1</v>
      </c>
      <c r="I825">
        <v>1</v>
      </c>
      <c r="J825" t="s">
        <v>1371</v>
      </c>
      <c r="O825" t="s">
        <v>29</v>
      </c>
      <c r="P825">
        <v>0.06</v>
      </c>
    </row>
    <row r="826" spans="1:16" x14ac:dyDescent="0.25">
      <c r="A826" s="181">
        <v>20350</v>
      </c>
      <c r="B826" s="216" t="s">
        <v>671</v>
      </c>
    </row>
    <row r="827" spans="1:16" x14ac:dyDescent="0.25">
      <c r="A827" s="181">
        <v>20360</v>
      </c>
      <c r="B827" s="216" t="s">
        <v>672</v>
      </c>
    </row>
    <row r="828" spans="1:16" x14ac:dyDescent="0.25">
      <c r="A828" s="181"/>
      <c r="B828" s="181" t="s">
        <v>790</v>
      </c>
      <c r="C828">
        <v>50050</v>
      </c>
      <c r="D828" t="s">
        <v>790</v>
      </c>
      <c r="E828" t="s">
        <v>790</v>
      </c>
      <c r="F828" t="s">
        <v>1047</v>
      </c>
      <c r="G828" t="s">
        <v>1047</v>
      </c>
      <c r="H828">
        <v>1</v>
      </c>
      <c r="I828">
        <v>1</v>
      </c>
      <c r="J828" t="s">
        <v>1705</v>
      </c>
      <c r="O828" t="s">
        <v>29</v>
      </c>
      <c r="P828">
        <v>0.44</v>
      </c>
    </row>
    <row r="829" spans="1:16" x14ac:dyDescent="0.25">
      <c r="A829" s="182"/>
      <c r="B829" s="181" t="s">
        <v>607</v>
      </c>
      <c r="C829">
        <v>11110</v>
      </c>
      <c r="D829" t="s">
        <v>1720</v>
      </c>
      <c r="E829" t="s">
        <v>1720</v>
      </c>
      <c r="F829" t="s">
        <v>1047</v>
      </c>
      <c r="G829" t="s">
        <v>1047</v>
      </c>
      <c r="H829">
        <v>1</v>
      </c>
      <c r="I829">
        <v>1</v>
      </c>
      <c r="J829" t="s">
        <v>1705</v>
      </c>
      <c r="O829" t="s">
        <v>29</v>
      </c>
      <c r="P829">
        <v>51.47</v>
      </c>
    </row>
    <row r="830" spans="1:16" x14ac:dyDescent="0.25">
      <c r="A830" s="181">
        <v>50060</v>
      </c>
      <c r="B830" s="181" t="s">
        <v>791</v>
      </c>
      <c r="C830">
        <v>50060</v>
      </c>
      <c r="D830" t="s">
        <v>791</v>
      </c>
      <c r="E830" t="s">
        <v>791</v>
      </c>
      <c r="F830" t="s">
        <v>1047</v>
      </c>
      <c r="G830" t="s">
        <v>1047</v>
      </c>
      <c r="H830">
        <v>1</v>
      </c>
      <c r="I830">
        <v>1</v>
      </c>
      <c r="J830" t="s">
        <v>1705</v>
      </c>
      <c r="O830" t="s">
        <v>29</v>
      </c>
      <c r="P830">
        <v>9.07</v>
      </c>
    </row>
    <row r="831" spans="1:16" x14ac:dyDescent="0.25">
      <c r="A831" s="181">
        <v>50070</v>
      </c>
      <c r="B831" s="181" t="s">
        <v>792</v>
      </c>
      <c r="C831">
        <v>50070</v>
      </c>
      <c r="D831" t="s">
        <v>1731</v>
      </c>
      <c r="E831" t="s">
        <v>1731</v>
      </c>
      <c r="F831" t="s">
        <v>1047</v>
      </c>
      <c r="G831" t="s">
        <v>1047</v>
      </c>
      <c r="H831">
        <v>1</v>
      </c>
      <c r="I831">
        <v>1</v>
      </c>
      <c r="J831" t="s">
        <v>1705</v>
      </c>
      <c r="O831" t="s">
        <v>29</v>
      </c>
      <c r="P831">
        <v>0</v>
      </c>
    </row>
    <row r="832" spans="1:16" x14ac:dyDescent="0.25">
      <c r="A832">
        <v>50080</v>
      </c>
      <c r="B832" t="s">
        <v>1740</v>
      </c>
      <c r="C832">
        <v>50080</v>
      </c>
      <c r="D832" t="s">
        <v>1740</v>
      </c>
      <c r="E832" t="s">
        <v>1740</v>
      </c>
      <c r="F832" t="s">
        <v>1047</v>
      </c>
      <c r="G832" t="s">
        <v>1047</v>
      </c>
      <c r="H832">
        <v>1</v>
      </c>
      <c r="I832">
        <v>1</v>
      </c>
      <c r="J832" t="s">
        <v>1705</v>
      </c>
      <c r="O832" t="s">
        <v>29</v>
      </c>
      <c r="P832">
        <v>5.76</v>
      </c>
    </row>
    <row r="833" spans="1:16" x14ac:dyDescent="0.25">
      <c r="A833" s="181">
        <v>50090</v>
      </c>
      <c r="B833" s="181" t="s">
        <v>794</v>
      </c>
      <c r="C833">
        <v>50090</v>
      </c>
      <c r="D833" t="s">
        <v>1729</v>
      </c>
      <c r="E833" t="s">
        <v>1729</v>
      </c>
      <c r="F833" t="s">
        <v>1047</v>
      </c>
      <c r="G833" t="s">
        <v>1047</v>
      </c>
      <c r="H833">
        <v>1</v>
      </c>
      <c r="I833">
        <v>1</v>
      </c>
      <c r="J833" t="s">
        <v>1705</v>
      </c>
      <c r="O833" t="s">
        <v>29</v>
      </c>
      <c r="P833">
        <v>20.95</v>
      </c>
    </row>
    <row r="834" spans="1:16" x14ac:dyDescent="0.25">
      <c r="A834" s="181">
        <v>50100</v>
      </c>
      <c r="B834" s="181" t="s">
        <v>795</v>
      </c>
      <c r="C834">
        <v>50100</v>
      </c>
      <c r="D834" t="s">
        <v>1728</v>
      </c>
      <c r="E834" t="s">
        <v>1728</v>
      </c>
      <c r="F834" t="s">
        <v>1047</v>
      </c>
      <c r="G834" t="s">
        <v>1047</v>
      </c>
      <c r="H834">
        <v>1</v>
      </c>
      <c r="I834">
        <v>1</v>
      </c>
      <c r="J834" t="s">
        <v>1705</v>
      </c>
      <c r="O834" t="s">
        <v>29</v>
      </c>
      <c r="P834">
        <v>50.76</v>
      </c>
    </row>
    <row r="835" spans="1:16" x14ac:dyDescent="0.25">
      <c r="A835" s="181">
        <v>50115</v>
      </c>
      <c r="B835" s="181" t="s">
        <v>983</v>
      </c>
    </row>
    <row r="836" spans="1:16" x14ac:dyDescent="0.25">
      <c r="A836" s="181">
        <v>50120</v>
      </c>
      <c r="B836" s="181" t="s">
        <v>565</v>
      </c>
    </row>
    <row r="837" spans="1:16" x14ac:dyDescent="0.25">
      <c r="A837" s="181">
        <v>50130</v>
      </c>
      <c r="B837" s="181" t="s">
        <v>566</v>
      </c>
      <c r="C837">
        <v>50130</v>
      </c>
      <c r="D837" t="s">
        <v>566</v>
      </c>
      <c r="E837" t="s">
        <v>566</v>
      </c>
      <c r="F837" t="s">
        <v>1047</v>
      </c>
      <c r="G837" t="s">
        <v>1047</v>
      </c>
      <c r="H837">
        <v>1</v>
      </c>
      <c r="I837">
        <v>1</v>
      </c>
      <c r="J837" t="s">
        <v>1371</v>
      </c>
      <c r="O837" t="s">
        <v>29</v>
      </c>
      <c r="P837">
        <v>125.15</v>
      </c>
    </row>
    <row r="838" spans="1:16" x14ac:dyDescent="0.25">
      <c r="A838" s="181">
        <v>50140</v>
      </c>
      <c r="B838" s="181" t="s">
        <v>567</v>
      </c>
    </row>
    <row r="839" spans="1:16" x14ac:dyDescent="0.25">
      <c r="A839" s="181">
        <v>50150</v>
      </c>
      <c r="B839" s="181" t="s">
        <v>568</v>
      </c>
    </row>
    <row r="840" spans="1:16" x14ac:dyDescent="0.25">
      <c r="A840" s="181">
        <v>50160</v>
      </c>
      <c r="B840" s="181" t="s">
        <v>569</v>
      </c>
    </row>
    <row r="841" spans="1:16" x14ac:dyDescent="0.25">
      <c r="A841" s="181">
        <v>50170</v>
      </c>
      <c r="B841" s="181" t="s">
        <v>570</v>
      </c>
    </row>
    <row r="842" spans="1:16" x14ac:dyDescent="0.25">
      <c r="A842" s="181">
        <v>50175</v>
      </c>
      <c r="B842" s="181" t="s">
        <v>797</v>
      </c>
    </row>
    <row r="843" spans="1:16" x14ac:dyDescent="0.25">
      <c r="A843" s="181">
        <v>50180</v>
      </c>
      <c r="B843" s="181" t="s">
        <v>798</v>
      </c>
    </row>
    <row r="844" spans="1:16" x14ac:dyDescent="0.25">
      <c r="A844" s="181">
        <v>50190</v>
      </c>
      <c r="B844" s="181" t="s">
        <v>799</v>
      </c>
      <c r="C844">
        <v>50190</v>
      </c>
      <c r="D844" t="s">
        <v>799</v>
      </c>
      <c r="E844" t="s">
        <v>799</v>
      </c>
      <c r="F844" t="s">
        <v>1047</v>
      </c>
      <c r="G844" t="s">
        <v>1047</v>
      </c>
      <c r="H844">
        <v>1</v>
      </c>
      <c r="I844">
        <v>1</v>
      </c>
      <c r="J844" t="s">
        <v>1371</v>
      </c>
      <c r="O844" t="s">
        <v>29</v>
      </c>
      <c r="P844">
        <v>0</v>
      </c>
    </row>
    <row r="845" spans="1:16" x14ac:dyDescent="0.25">
      <c r="A845" s="181">
        <v>50200</v>
      </c>
      <c r="B845" s="181" t="s">
        <v>800</v>
      </c>
      <c r="C845">
        <v>50200</v>
      </c>
      <c r="D845" t="s">
        <v>1492</v>
      </c>
      <c r="E845" t="s">
        <v>1492</v>
      </c>
      <c r="F845" t="s">
        <v>1047</v>
      </c>
      <c r="G845" t="s">
        <v>1047</v>
      </c>
      <c r="H845">
        <v>1</v>
      </c>
      <c r="I845">
        <v>1</v>
      </c>
      <c r="J845" t="s">
        <v>1371</v>
      </c>
      <c r="O845" t="s">
        <v>29</v>
      </c>
      <c r="P845">
        <v>0</v>
      </c>
    </row>
    <row r="846" spans="1:16" x14ac:dyDescent="0.25">
      <c r="A846" s="181">
        <v>50210</v>
      </c>
      <c r="B846" s="181" t="s">
        <v>801</v>
      </c>
      <c r="C846">
        <v>50210</v>
      </c>
      <c r="D846" t="s">
        <v>1491</v>
      </c>
      <c r="E846" t="s">
        <v>1491</v>
      </c>
      <c r="F846" t="s">
        <v>1047</v>
      </c>
      <c r="G846" t="s">
        <v>1047</v>
      </c>
      <c r="H846">
        <v>1</v>
      </c>
      <c r="I846">
        <v>1</v>
      </c>
      <c r="J846" t="s">
        <v>1371</v>
      </c>
      <c r="O846" t="s">
        <v>29</v>
      </c>
      <c r="P846">
        <v>0</v>
      </c>
    </row>
    <row r="847" spans="1:16" x14ac:dyDescent="0.25">
      <c r="A847" s="181">
        <v>50220</v>
      </c>
      <c r="B847" s="181" t="s">
        <v>802</v>
      </c>
      <c r="C847">
        <v>50220</v>
      </c>
      <c r="D847" t="s">
        <v>802</v>
      </c>
      <c r="E847" t="s">
        <v>802</v>
      </c>
      <c r="F847" t="s">
        <v>1047</v>
      </c>
      <c r="G847" t="s">
        <v>1047</v>
      </c>
      <c r="H847">
        <v>1</v>
      </c>
      <c r="I847">
        <v>1</v>
      </c>
      <c r="J847" t="s">
        <v>1371</v>
      </c>
      <c r="O847" t="s">
        <v>29</v>
      </c>
      <c r="P847">
        <v>0</v>
      </c>
    </row>
    <row r="848" spans="1:16" x14ac:dyDescent="0.25">
      <c r="A848" s="181">
        <v>50230</v>
      </c>
      <c r="B848" s="181" t="s">
        <v>803</v>
      </c>
    </row>
    <row r="849" spans="1:16" x14ac:dyDescent="0.25">
      <c r="A849" s="181">
        <v>50240</v>
      </c>
      <c r="B849" s="181" t="s">
        <v>804</v>
      </c>
    </row>
    <row r="850" spans="1:16" x14ac:dyDescent="0.25">
      <c r="A850" s="181">
        <v>50250</v>
      </c>
      <c r="B850" s="181" t="s">
        <v>805</v>
      </c>
    </row>
    <row r="851" spans="1:16" x14ac:dyDescent="0.25">
      <c r="A851">
        <v>60000</v>
      </c>
      <c r="B851" t="s">
        <v>1561</v>
      </c>
      <c r="C851">
        <v>60000</v>
      </c>
      <c r="D851" t="s">
        <v>1561</v>
      </c>
      <c r="E851" t="s">
        <v>1561</v>
      </c>
      <c r="F851" t="s">
        <v>1047</v>
      </c>
      <c r="G851" t="s">
        <v>1047</v>
      </c>
      <c r="H851">
        <v>1</v>
      </c>
      <c r="I851">
        <v>1</v>
      </c>
      <c r="J851" t="s">
        <v>32</v>
      </c>
      <c r="O851" t="s">
        <v>29</v>
      </c>
      <c r="P851">
        <v>0</v>
      </c>
    </row>
    <row r="852" spans="1:16" x14ac:dyDescent="0.25">
      <c r="A852">
        <v>60010</v>
      </c>
      <c r="B852" t="s">
        <v>1562</v>
      </c>
      <c r="C852">
        <v>60010</v>
      </c>
      <c r="D852" t="s">
        <v>1562</v>
      </c>
      <c r="E852" t="s">
        <v>1562</v>
      </c>
      <c r="F852" t="s">
        <v>1047</v>
      </c>
      <c r="G852" t="s">
        <v>1047</v>
      </c>
      <c r="H852">
        <v>1</v>
      </c>
      <c r="I852">
        <v>1</v>
      </c>
      <c r="J852" t="s">
        <v>32</v>
      </c>
      <c r="O852" t="s">
        <v>29</v>
      </c>
      <c r="P852">
        <v>6.56</v>
      </c>
    </row>
    <row r="853" spans="1:16" x14ac:dyDescent="0.25">
      <c r="A853">
        <v>60020</v>
      </c>
      <c r="B853" t="s">
        <v>1565</v>
      </c>
      <c r="C853">
        <v>60020</v>
      </c>
      <c r="D853" t="s">
        <v>1565</v>
      </c>
      <c r="E853" t="s">
        <v>1565</v>
      </c>
      <c r="F853" t="s">
        <v>1047</v>
      </c>
      <c r="G853" t="s">
        <v>1047</v>
      </c>
      <c r="H853">
        <v>1</v>
      </c>
      <c r="I853">
        <v>1</v>
      </c>
      <c r="J853" t="s">
        <v>32</v>
      </c>
      <c r="O853" t="s">
        <v>29</v>
      </c>
      <c r="P853">
        <v>7.29</v>
      </c>
    </row>
    <row r="854" spans="1:16" x14ac:dyDescent="0.25">
      <c r="A854">
        <v>60030</v>
      </c>
      <c r="B854" t="s">
        <v>1552</v>
      </c>
      <c r="C854">
        <v>60030</v>
      </c>
      <c r="D854" t="s">
        <v>1552</v>
      </c>
      <c r="E854" t="s">
        <v>1552</v>
      </c>
      <c r="F854" t="s">
        <v>1047</v>
      </c>
      <c r="G854" t="s">
        <v>1047</v>
      </c>
      <c r="H854">
        <v>1</v>
      </c>
      <c r="I854">
        <v>1</v>
      </c>
      <c r="J854" t="s">
        <v>316</v>
      </c>
      <c r="O854" t="s">
        <v>29</v>
      </c>
      <c r="P854">
        <v>0</v>
      </c>
    </row>
    <row r="855" spans="1:16" x14ac:dyDescent="0.25">
      <c r="A855">
        <v>60040</v>
      </c>
      <c r="B855" t="s">
        <v>1533</v>
      </c>
      <c r="C855">
        <v>60040</v>
      </c>
      <c r="D855" t="s">
        <v>1533</v>
      </c>
      <c r="E855" t="s">
        <v>1533</v>
      </c>
      <c r="F855" t="s">
        <v>1047</v>
      </c>
      <c r="G855" t="s">
        <v>1047</v>
      </c>
      <c r="H855">
        <v>1</v>
      </c>
      <c r="I855">
        <v>1</v>
      </c>
      <c r="J855" t="s">
        <v>316</v>
      </c>
      <c r="O855" t="s">
        <v>29</v>
      </c>
      <c r="P855">
        <v>35.56</v>
      </c>
    </row>
    <row r="856" spans="1:16" x14ac:dyDescent="0.25">
      <c r="A856">
        <v>60050</v>
      </c>
      <c r="B856" t="s">
        <v>1551</v>
      </c>
      <c r="C856">
        <v>60050</v>
      </c>
      <c r="D856" t="s">
        <v>1551</v>
      </c>
      <c r="E856" t="s">
        <v>1551</v>
      </c>
      <c r="F856" t="s">
        <v>1047</v>
      </c>
      <c r="G856" t="s">
        <v>1047</v>
      </c>
      <c r="H856">
        <v>1</v>
      </c>
      <c r="I856">
        <v>1</v>
      </c>
      <c r="J856" t="s">
        <v>316</v>
      </c>
      <c r="O856" t="s">
        <v>29</v>
      </c>
      <c r="P856">
        <v>11.78</v>
      </c>
    </row>
    <row r="857" spans="1:16" x14ac:dyDescent="0.25">
      <c r="A857">
        <v>60060</v>
      </c>
      <c r="B857" t="s">
        <v>1515</v>
      </c>
      <c r="C857">
        <v>60060</v>
      </c>
      <c r="D857" t="s">
        <v>1515</v>
      </c>
      <c r="E857" t="s">
        <v>1515</v>
      </c>
      <c r="F857" t="s">
        <v>1047</v>
      </c>
      <c r="G857" t="s">
        <v>1047</v>
      </c>
      <c r="H857">
        <v>1</v>
      </c>
      <c r="I857">
        <v>1</v>
      </c>
      <c r="J857" t="s">
        <v>316</v>
      </c>
      <c r="O857" t="s">
        <v>29</v>
      </c>
      <c r="P857">
        <v>0</v>
      </c>
    </row>
    <row r="858" spans="1:16" x14ac:dyDescent="0.25">
      <c r="A858">
        <v>60070</v>
      </c>
      <c r="B858" t="s">
        <v>1521</v>
      </c>
      <c r="C858">
        <v>60070</v>
      </c>
      <c r="D858" t="s">
        <v>1521</v>
      </c>
      <c r="E858" t="s">
        <v>1521</v>
      </c>
      <c r="F858" t="s">
        <v>1047</v>
      </c>
      <c r="G858" t="s">
        <v>1047</v>
      </c>
      <c r="H858">
        <v>1</v>
      </c>
      <c r="I858">
        <v>1</v>
      </c>
      <c r="J858" t="s">
        <v>316</v>
      </c>
      <c r="O858" t="s">
        <v>29</v>
      </c>
      <c r="P858">
        <v>0</v>
      </c>
    </row>
    <row r="859" spans="1:16" x14ac:dyDescent="0.25">
      <c r="A859">
        <v>60080</v>
      </c>
      <c r="B859" t="s">
        <v>1524</v>
      </c>
      <c r="C859">
        <v>60080</v>
      </c>
      <c r="D859" t="s">
        <v>1524</v>
      </c>
      <c r="E859" t="s">
        <v>1524</v>
      </c>
      <c r="F859" t="s">
        <v>1047</v>
      </c>
      <c r="G859" t="s">
        <v>1047</v>
      </c>
      <c r="H859">
        <v>1</v>
      </c>
      <c r="I859">
        <v>1</v>
      </c>
      <c r="J859" t="s">
        <v>316</v>
      </c>
      <c r="O859" t="s">
        <v>29</v>
      </c>
      <c r="P859">
        <v>9.6</v>
      </c>
    </row>
    <row r="860" spans="1:16" x14ac:dyDescent="0.25">
      <c r="A860">
        <v>60090</v>
      </c>
      <c r="B860" t="s">
        <v>1508</v>
      </c>
      <c r="C860">
        <v>60090</v>
      </c>
      <c r="D860" t="s">
        <v>1508</v>
      </c>
      <c r="E860" t="s">
        <v>1508</v>
      </c>
      <c r="F860" t="s">
        <v>1047</v>
      </c>
      <c r="G860" t="s">
        <v>1047</v>
      </c>
      <c r="H860">
        <v>1</v>
      </c>
      <c r="I860">
        <v>1</v>
      </c>
      <c r="J860" t="s">
        <v>316</v>
      </c>
      <c r="O860" t="s">
        <v>29</v>
      </c>
      <c r="P860">
        <v>0</v>
      </c>
    </row>
    <row r="861" spans="1:16" x14ac:dyDescent="0.25">
      <c r="A861">
        <v>60100</v>
      </c>
      <c r="B861" t="s">
        <v>1509</v>
      </c>
      <c r="C861">
        <v>60100</v>
      </c>
      <c r="D861" t="s">
        <v>1509</v>
      </c>
      <c r="E861" t="s">
        <v>1509</v>
      </c>
      <c r="F861" t="s">
        <v>1047</v>
      </c>
      <c r="G861" t="s">
        <v>1047</v>
      </c>
      <c r="H861">
        <v>1</v>
      </c>
      <c r="I861">
        <v>1</v>
      </c>
      <c r="J861" t="s">
        <v>316</v>
      </c>
      <c r="O861" t="s">
        <v>29</v>
      </c>
      <c r="P861">
        <v>0</v>
      </c>
    </row>
    <row r="862" spans="1:16" x14ac:dyDescent="0.25">
      <c r="A862">
        <v>60110</v>
      </c>
      <c r="B862" t="s">
        <v>1526</v>
      </c>
      <c r="C862">
        <v>60110</v>
      </c>
      <c r="D862" t="s">
        <v>1526</v>
      </c>
      <c r="E862" t="s">
        <v>1526</v>
      </c>
      <c r="F862" t="s">
        <v>1047</v>
      </c>
      <c r="G862" t="s">
        <v>1047</v>
      </c>
      <c r="H862">
        <v>1</v>
      </c>
      <c r="I862">
        <v>1</v>
      </c>
      <c r="J862" t="s">
        <v>316</v>
      </c>
      <c r="O862" t="s">
        <v>29</v>
      </c>
      <c r="P862">
        <v>0</v>
      </c>
    </row>
    <row r="863" spans="1:16" x14ac:dyDescent="0.25">
      <c r="A863">
        <v>60120</v>
      </c>
      <c r="B863" t="s">
        <v>1510</v>
      </c>
      <c r="C863">
        <v>60120</v>
      </c>
      <c r="D863" t="s">
        <v>1510</v>
      </c>
      <c r="E863" t="s">
        <v>1510</v>
      </c>
      <c r="F863" t="s">
        <v>1047</v>
      </c>
      <c r="G863" t="s">
        <v>1047</v>
      </c>
      <c r="H863">
        <v>1</v>
      </c>
      <c r="I863">
        <v>1</v>
      </c>
      <c r="J863" t="s">
        <v>316</v>
      </c>
      <c r="O863" t="s">
        <v>29</v>
      </c>
      <c r="P863">
        <v>0</v>
      </c>
    </row>
    <row r="864" spans="1:16" x14ac:dyDescent="0.25">
      <c r="A864">
        <v>60130</v>
      </c>
      <c r="B864" t="s">
        <v>1511</v>
      </c>
      <c r="C864">
        <v>60130</v>
      </c>
      <c r="D864" t="s">
        <v>1511</v>
      </c>
      <c r="E864" t="s">
        <v>1511</v>
      </c>
      <c r="F864" t="s">
        <v>1047</v>
      </c>
      <c r="G864" t="s">
        <v>1047</v>
      </c>
      <c r="H864">
        <v>1</v>
      </c>
      <c r="I864">
        <v>1</v>
      </c>
      <c r="J864" t="s">
        <v>316</v>
      </c>
      <c r="O864" t="s">
        <v>29</v>
      </c>
      <c r="P864">
        <v>0</v>
      </c>
    </row>
    <row r="865" spans="1:16" x14ac:dyDescent="0.25">
      <c r="A865">
        <v>60140</v>
      </c>
      <c r="B865" t="s">
        <v>1513</v>
      </c>
      <c r="C865">
        <v>60140</v>
      </c>
      <c r="D865" t="s">
        <v>1513</v>
      </c>
      <c r="E865" t="s">
        <v>1513</v>
      </c>
      <c r="F865" t="s">
        <v>1047</v>
      </c>
      <c r="G865" t="s">
        <v>1047</v>
      </c>
      <c r="H865">
        <v>1</v>
      </c>
      <c r="I865">
        <v>1</v>
      </c>
      <c r="J865" t="s">
        <v>316</v>
      </c>
      <c r="O865" t="s">
        <v>29</v>
      </c>
      <c r="P865">
        <v>0</v>
      </c>
    </row>
    <row r="866" spans="1:16" x14ac:dyDescent="0.25">
      <c r="A866">
        <v>60150</v>
      </c>
      <c r="B866" t="s">
        <v>1522</v>
      </c>
      <c r="C866">
        <v>60150</v>
      </c>
      <c r="D866" t="s">
        <v>1522</v>
      </c>
      <c r="E866" t="s">
        <v>1522</v>
      </c>
      <c r="F866" t="s">
        <v>1047</v>
      </c>
      <c r="G866" t="s">
        <v>1047</v>
      </c>
      <c r="H866">
        <v>1</v>
      </c>
      <c r="I866">
        <v>1</v>
      </c>
      <c r="J866" t="s">
        <v>316</v>
      </c>
      <c r="O866" t="s">
        <v>29</v>
      </c>
      <c r="P866">
        <v>49.1</v>
      </c>
    </row>
    <row r="867" spans="1:16" x14ac:dyDescent="0.25">
      <c r="A867">
        <v>60160</v>
      </c>
      <c r="B867" t="s">
        <v>1525</v>
      </c>
      <c r="C867">
        <v>60160</v>
      </c>
      <c r="D867" t="s">
        <v>1525</v>
      </c>
      <c r="E867" t="s">
        <v>1525</v>
      </c>
      <c r="F867" t="s">
        <v>1047</v>
      </c>
      <c r="G867" t="s">
        <v>1047</v>
      </c>
      <c r="H867">
        <v>1</v>
      </c>
      <c r="I867">
        <v>1</v>
      </c>
      <c r="J867" t="s">
        <v>316</v>
      </c>
      <c r="O867" t="s">
        <v>29</v>
      </c>
      <c r="P867">
        <v>0</v>
      </c>
    </row>
    <row r="868" spans="1:16" x14ac:dyDescent="0.25">
      <c r="A868">
        <v>60170</v>
      </c>
      <c r="B868" t="s">
        <v>1512</v>
      </c>
      <c r="C868">
        <v>60170</v>
      </c>
      <c r="D868" t="s">
        <v>1512</v>
      </c>
      <c r="E868" t="s">
        <v>1512</v>
      </c>
      <c r="F868" t="s">
        <v>1047</v>
      </c>
      <c r="G868" t="s">
        <v>1047</v>
      </c>
      <c r="H868">
        <v>1</v>
      </c>
      <c r="I868">
        <v>1</v>
      </c>
      <c r="J868" t="s">
        <v>316</v>
      </c>
      <c r="O868" t="s">
        <v>29</v>
      </c>
      <c r="P868">
        <v>0</v>
      </c>
    </row>
    <row r="869" spans="1:16" x14ac:dyDescent="0.25">
      <c r="A869">
        <v>60180</v>
      </c>
      <c r="B869" t="s">
        <v>1531</v>
      </c>
      <c r="C869">
        <v>60180</v>
      </c>
      <c r="D869" t="s">
        <v>1531</v>
      </c>
      <c r="E869" t="s">
        <v>1531</v>
      </c>
      <c r="F869" t="s">
        <v>1047</v>
      </c>
      <c r="G869" t="s">
        <v>1047</v>
      </c>
      <c r="H869">
        <v>1</v>
      </c>
      <c r="I869">
        <v>1</v>
      </c>
      <c r="J869" t="s">
        <v>316</v>
      </c>
      <c r="O869" t="s">
        <v>29</v>
      </c>
      <c r="P869">
        <v>16.670000000000002</v>
      </c>
    </row>
    <row r="870" spans="1:16" x14ac:dyDescent="0.25">
      <c r="A870">
        <v>60185</v>
      </c>
      <c r="B870" t="s">
        <v>1532</v>
      </c>
      <c r="C870">
        <v>60185</v>
      </c>
      <c r="D870" t="s">
        <v>1532</v>
      </c>
      <c r="E870" t="s">
        <v>1532</v>
      </c>
      <c r="F870" t="s">
        <v>1047</v>
      </c>
      <c r="G870" t="s">
        <v>1047</v>
      </c>
      <c r="H870">
        <v>1</v>
      </c>
      <c r="I870">
        <v>1</v>
      </c>
      <c r="J870" t="s">
        <v>316</v>
      </c>
      <c r="O870" t="s">
        <v>29</v>
      </c>
      <c r="P870">
        <v>7.2</v>
      </c>
    </row>
    <row r="871" spans="1:16" x14ac:dyDescent="0.25">
      <c r="A871">
        <v>60190</v>
      </c>
      <c r="B871" t="s">
        <v>1516</v>
      </c>
      <c r="C871">
        <v>60190</v>
      </c>
      <c r="D871" t="s">
        <v>1516</v>
      </c>
      <c r="E871" t="s">
        <v>1516</v>
      </c>
      <c r="F871" t="s">
        <v>1047</v>
      </c>
      <c r="G871" t="s">
        <v>1047</v>
      </c>
      <c r="H871">
        <v>1</v>
      </c>
      <c r="I871">
        <v>1</v>
      </c>
      <c r="J871" t="s">
        <v>316</v>
      </c>
      <c r="O871" t="s">
        <v>29</v>
      </c>
      <c r="P871">
        <v>20.86</v>
      </c>
    </row>
    <row r="872" spans="1:16" x14ac:dyDescent="0.25">
      <c r="A872">
        <v>60200</v>
      </c>
      <c r="B872" t="s">
        <v>1514</v>
      </c>
      <c r="C872">
        <v>60200</v>
      </c>
      <c r="D872" t="s">
        <v>1514</v>
      </c>
      <c r="E872" t="s">
        <v>1514</v>
      </c>
      <c r="F872" t="s">
        <v>1047</v>
      </c>
      <c r="G872" t="s">
        <v>1047</v>
      </c>
      <c r="H872">
        <v>1</v>
      </c>
      <c r="I872">
        <v>1</v>
      </c>
      <c r="J872" t="s">
        <v>316</v>
      </c>
      <c r="O872" t="s">
        <v>29</v>
      </c>
      <c r="P872">
        <v>0.66</v>
      </c>
    </row>
    <row r="873" spans="1:16" x14ac:dyDescent="0.25">
      <c r="A873">
        <v>60201</v>
      </c>
      <c r="B873" t="s">
        <v>1523</v>
      </c>
      <c r="C873">
        <v>60201</v>
      </c>
      <c r="D873" t="s">
        <v>1523</v>
      </c>
      <c r="E873" t="s">
        <v>1523</v>
      </c>
      <c r="F873" t="s">
        <v>1047</v>
      </c>
      <c r="G873" t="s">
        <v>1047</v>
      </c>
      <c r="H873">
        <v>1</v>
      </c>
      <c r="I873">
        <v>1</v>
      </c>
      <c r="J873" t="s">
        <v>316</v>
      </c>
      <c r="O873" t="s">
        <v>29</v>
      </c>
      <c r="P873">
        <v>25.8</v>
      </c>
    </row>
    <row r="874" spans="1:16" x14ac:dyDescent="0.25">
      <c r="A874">
        <v>60202</v>
      </c>
      <c r="B874" t="s">
        <v>1544</v>
      </c>
      <c r="C874">
        <v>60202</v>
      </c>
      <c r="D874" t="s">
        <v>1544</v>
      </c>
      <c r="E874" t="s">
        <v>1544</v>
      </c>
      <c r="F874" t="s">
        <v>1047</v>
      </c>
      <c r="G874" t="s">
        <v>1047</v>
      </c>
      <c r="H874">
        <v>1</v>
      </c>
      <c r="I874">
        <v>1</v>
      </c>
      <c r="J874" t="s">
        <v>316</v>
      </c>
      <c r="O874" t="s">
        <v>29</v>
      </c>
      <c r="P874">
        <v>48.03</v>
      </c>
    </row>
    <row r="875" spans="1:16" x14ac:dyDescent="0.25">
      <c r="A875">
        <v>60203</v>
      </c>
      <c r="B875" t="s">
        <v>1554</v>
      </c>
      <c r="C875">
        <v>60203</v>
      </c>
      <c r="D875" t="s">
        <v>1554</v>
      </c>
      <c r="E875" t="s">
        <v>1554</v>
      </c>
      <c r="F875" t="s">
        <v>1047</v>
      </c>
      <c r="G875" t="s">
        <v>1047</v>
      </c>
      <c r="H875">
        <v>1</v>
      </c>
      <c r="I875">
        <v>1</v>
      </c>
      <c r="J875" t="s">
        <v>316</v>
      </c>
      <c r="O875" t="s">
        <v>29</v>
      </c>
      <c r="P875">
        <v>864</v>
      </c>
    </row>
    <row r="876" spans="1:16" x14ac:dyDescent="0.25">
      <c r="A876">
        <v>60204</v>
      </c>
      <c r="B876" t="s">
        <v>1555</v>
      </c>
      <c r="C876">
        <v>60204</v>
      </c>
      <c r="D876" t="s">
        <v>1555</v>
      </c>
      <c r="E876" t="s">
        <v>1555</v>
      </c>
      <c r="F876" t="s">
        <v>1047</v>
      </c>
      <c r="G876" t="s">
        <v>1047</v>
      </c>
      <c r="H876">
        <v>1</v>
      </c>
      <c r="I876">
        <v>1</v>
      </c>
      <c r="J876" t="s">
        <v>316</v>
      </c>
      <c r="O876" t="s">
        <v>29</v>
      </c>
      <c r="P876">
        <v>1264</v>
      </c>
    </row>
    <row r="877" spans="1:16" x14ac:dyDescent="0.25">
      <c r="A877">
        <v>60205</v>
      </c>
      <c r="B877" t="s">
        <v>1541</v>
      </c>
      <c r="C877">
        <v>60205</v>
      </c>
      <c r="D877" t="s">
        <v>1541</v>
      </c>
      <c r="E877" t="s">
        <v>1541</v>
      </c>
      <c r="F877" t="s">
        <v>1047</v>
      </c>
      <c r="G877" t="s">
        <v>1047</v>
      </c>
      <c r="H877">
        <v>1</v>
      </c>
      <c r="I877">
        <v>1</v>
      </c>
      <c r="J877" t="s">
        <v>316</v>
      </c>
      <c r="O877" t="s">
        <v>29</v>
      </c>
      <c r="P877">
        <v>49.1</v>
      </c>
    </row>
    <row r="878" spans="1:16" x14ac:dyDescent="0.25">
      <c r="A878">
        <v>60206</v>
      </c>
      <c r="B878" t="s">
        <v>1539</v>
      </c>
      <c r="C878">
        <v>60206</v>
      </c>
      <c r="D878" t="s">
        <v>1539</v>
      </c>
      <c r="E878" t="s">
        <v>1539</v>
      </c>
      <c r="F878" t="s">
        <v>1047</v>
      </c>
      <c r="G878" t="s">
        <v>1047</v>
      </c>
      <c r="H878">
        <v>1</v>
      </c>
      <c r="I878">
        <v>1</v>
      </c>
      <c r="J878" t="s">
        <v>316</v>
      </c>
      <c r="O878" t="s">
        <v>29</v>
      </c>
      <c r="P878">
        <v>13.2</v>
      </c>
    </row>
    <row r="879" spans="1:16" x14ac:dyDescent="0.25">
      <c r="A879">
        <v>60207</v>
      </c>
      <c r="B879" t="s">
        <v>1540</v>
      </c>
      <c r="C879">
        <v>60207</v>
      </c>
      <c r="D879" t="s">
        <v>1540</v>
      </c>
      <c r="E879" t="s">
        <v>1540</v>
      </c>
      <c r="F879" t="s">
        <v>1047</v>
      </c>
      <c r="G879" t="s">
        <v>1047</v>
      </c>
      <c r="H879">
        <v>1</v>
      </c>
      <c r="I879">
        <v>1</v>
      </c>
      <c r="J879" t="s">
        <v>316</v>
      </c>
      <c r="O879" t="s">
        <v>29</v>
      </c>
      <c r="P879">
        <v>38.1</v>
      </c>
    </row>
    <row r="880" spans="1:16" x14ac:dyDescent="0.25">
      <c r="A880">
        <v>60208</v>
      </c>
      <c r="B880" t="s">
        <v>1530</v>
      </c>
      <c r="C880">
        <v>60208</v>
      </c>
      <c r="D880" t="s">
        <v>1530</v>
      </c>
      <c r="E880" t="s">
        <v>1530</v>
      </c>
      <c r="F880" t="s">
        <v>1047</v>
      </c>
      <c r="G880" t="s">
        <v>1047</v>
      </c>
      <c r="H880">
        <v>1</v>
      </c>
      <c r="I880">
        <v>1</v>
      </c>
      <c r="J880" t="s">
        <v>316</v>
      </c>
      <c r="O880" t="s">
        <v>29</v>
      </c>
      <c r="P880">
        <v>686</v>
      </c>
    </row>
    <row r="881" spans="1:16" x14ac:dyDescent="0.25">
      <c r="A881">
        <v>60209</v>
      </c>
      <c r="B881" t="s">
        <v>1527</v>
      </c>
      <c r="C881">
        <v>60209</v>
      </c>
      <c r="D881" t="s">
        <v>1527</v>
      </c>
      <c r="E881" t="s">
        <v>1527</v>
      </c>
      <c r="F881" t="s">
        <v>1047</v>
      </c>
      <c r="G881" t="s">
        <v>1047</v>
      </c>
      <c r="H881">
        <v>1</v>
      </c>
      <c r="I881">
        <v>1</v>
      </c>
      <c r="J881" t="s">
        <v>316</v>
      </c>
      <c r="O881" t="s">
        <v>29</v>
      </c>
      <c r="P881">
        <v>795</v>
      </c>
    </row>
    <row r="882" spans="1:16" x14ac:dyDescent="0.25">
      <c r="A882">
        <v>60210</v>
      </c>
      <c r="B882" t="s">
        <v>1550</v>
      </c>
      <c r="C882">
        <v>60210</v>
      </c>
      <c r="D882" t="s">
        <v>1550</v>
      </c>
      <c r="E882" t="s">
        <v>1550</v>
      </c>
      <c r="F882" t="s">
        <v>1047</v>
      </c>
      <c r="G882" t="s">
        <v>1047</v>
      </c>
      <c r="H882">
        <v>1</v>
      </c>
      <c r="I882">
        <v>1</v>
      </c>
      <c r="J882" t="s">
        <v>316</v>
      </c>
      <c r="O882" t="s">
        <v>29</v>
      </c>
      <c r="P882">
        <v>63.23</v>
      </c>
    </row>
    <row r="883" spans="1:16" x14ac:dyDescent="0.25">
      <c r="A883">
        <v>60211</v>
      </c>
      <c r="B883" t="s">
        <v>1553</v>
      </c>
      <c r="C883">
        <v>60211</v>
      </c>
      <c r="D883" t="s">
        <v>1553</v>
      </c>
      <c r="E883" t="s">
        <v>1553</v>
      </c>
      <c r="F883" t="s">
        <v>1047</v>
      </c>
      <c r="G883" t="s">
        <v>1047</v>
      </c>
      <c r="H883">
        <v>1</v>
      </c>
      <c r="I883">
        <v>1</v>
      </c>
      <c r="J883" t="s">
        <v>316</v>
      </c>
      <c r="O883" t="s">
        <v>29</v>
      </c>
      <c r="P883">
        <v>719</v>
      </c>
    </row>
    <row r="884" spans="1:16" x14ac:dyDescent="0.25">
      <c r="A884">
        <v>60213</v>
      </c>
      <c r="B884" t="s">
        <v>1537</v>
      </c>
      <c r="C884">
        <v>60213</v>
      </c>
      <c r="D884" t="s">
        <v>1537</v>
      </c>
      <c r="E884" t="s">
        <v>1537</v>
      </c>
      <c r="F884" t="s">
        <v>1047</v>
      </c>
      <c r="G884" t="s">
        <v>1047</v>
      </c>
      <c r="H884">
        <v>1</v>
      </c>
      <c r="I884">
        <v>1</v>
      </c>
      <c r="J884" t="s">
        <v>316</v>
      </c>
      <c r="O884" t="s">
        <v>29</v>
      </c>
      <c r="P884">
        <v>468.82</v>
      </c>
    </row>
    <row r="885" spans="1:16" x14ac:dyDescent="0.25">
      <c r="A885">
        <v>60215</v>
      </c>
      <c r="B885" t="s">
        <v>1538</v>
      </c>
      <c r="C885">
        <v>60215</v>
      </c>
      <c r="D885" t="s">
        <v>1538</v>
      </c>
      <c r="E885" t="s">
        <v>1538</v>
      </c>
      <c r="F885" t="s">
        <v>1047</v>
      </c>
      <c r="G885" t="s">
        <v>1047</v>
      </c>
      <c r="H885">
        <v>1</v>
      </c>
      <c r="I885">
        <v>1</v>
      </c>
      <c r="J885" t="s">
        <v>316</v>
      </c>
      <c r="O885" t="s">
        <v>29</v>
      </c>
      <c r="P885">
        <v>419.17</v>
      </c>
    </row>
    <row r="886" spans="1:16" x14ac:dyDescent="0.25">
      <c r="A886">
        <v>60220</v>
      </c>
      <c r="B886" t="s">
        <v>1507</v>
      </c>
      <c r="C886">
        <v>60220</v>
      </c>
      <c r="D886" t="s">
        <v>1507</v>
      </c>
      <c r="E886" t="s">
        <v>1507</v>
      </c>
      <c r="F886" t="s">
        <v>1047</v>
      </c>
      <c r="G886" t="s">
        <v>1047</v>
      </c>
      <c r="H886">
        <v>1</v>
      </c>
      <c r="I886">
        <v>1</v>
      </c>
      <c r="J886" t="s">
        <v>316</v>
      </c>
      <c r="O886" t="s">
        <v>29</v>
      </c>
      <c r="P886">
        <v>16.690000000000001</v>
      </c>
    </row>
    <row r="887" spans="1:16" x14ac:dyDescent="0.25">
      <c r="A887">
        <v>60230</v>
      </c>
      <c r="B887" t="s">
        <v>1064</v>
      </c>
      <c r="C887">
        <v>60230</v>
      </c>
      <c r="D887" t="s">
        <v>1064</v>
      </c>
      <c r="E887" t="s">
        <v>1064</v>
      </c>
      <c r="F887" t="s">
        <v>1047</v>
      </c>
      <c r="G887" t="s">
        <v>1047</v>
      </c>
      <c r="H887">
        <v>1</v>
      </c>
      <c r="I887">
        <v>1</v>
      </c>
      <c r="J887" t="s">
        <v>1065</v>
      </c>
      <c r="O887" t="s">
        <v>29</v>
      </c>
      <c r="P887">
        <v>143.09</v>
      </c>
    </row>
    <row r="888" spans="1:16" x14ac:dyDescent="0.25">
      <c r="A888">
        <v>60250</v>
      </c>
      <c r="B888" t="s">
        <v>1066</v>
      </c>
      <c r="C888">
        <v>60250</v>
      </c>
      <c r="D888" t="s">
        <v>1066</v>
      </c>
      <c r="E888" t="s">
        <v>1066</v>
      </c>
      <c r="F888" t="s">
        <v>1047</v>
      </c>
      <c r="G888" t="s">
        <v>1047</v>
      </c>
      <c r="H888">
        <v>1</v>
      </c>
      <c r="I888">
        <v>1</v>
      </c>
      <c r="J888" t="s">
        <v>1065</v>
      </c>
      <c r="O888" t="s">
        <v>29</v>
      </c>
      <c r="P888">
        <v>280</v>
      </c>
    </row>
    <row r="889" spans="1:16" x14ac:dyDescent="0.25">
      <c r="A889">
        <v>60260</v>
      </c>
      <c r="B889" t="s">
        <v>1535</v>
      </c>
      <c r="C889">
        <v>60260</v>
      </c>
      <c r="D889" t="s">
        <v>1535</v>
      </c>
      <c r="E889" t="s">
        <v>1535</v>
      </c>
      <c r="F889" t="s">
        <v>1047</v>
      </c>
      <c r="G889" t="s">
        <v>1047</v>
      </c>
      <c r="H889">
        <v>1</v>
      </c>
      <c r="I889">
        <v>1</v>
      </c>
      <c r="J889" t="s">
        <v>316</v>
      </c>
      <c r="O889" t="s">
        <v>29</v>
      </c>
      <c r="P889">
        <v>55.49</v>
      </c>
    </row>
    <row r="890" spans="1:16" x14ac:dyDescent="0.25">
      <c r="A890">
        <v>60265</v>
      </c>
      <c r="B890" t="s">
        <v>1536</v>
      </c>
      <c r="C890">
        <v>60265</v>
      </c>
      <c r="D890" t="s">
        <v>1536</v>
      </c>
      <c r="E890" t="s">
        <v>1536</v>
      </c>
      <c r="F890" t="s">
        <v>1047</v>
      </c>
      <c r="G890" t="s">
        <v>1047</v>
      </c>
      <c r="H890">
        <v>1</v>
      </c>
      <c r="I890">
        <v>1</v>
      </c>
      <c r="J890" t="s">
        <v>316</v>
      </c>
      <c r="O890" t="s">
        <v>29</v>
      </c>
      <c r="P890">
        <v>21.12</v>
      </c>
    </row>
    <row r="891" spans="1:16" x14ac:dyDescent="0.25">
      <c r="A891">
        <v>60270</v>
      </c>
      <c r="B891" t="s">
        <v>1534</v>
      </c>
      <c r="C891">
        <v>60270</v>
      </c>
      <c r="D891" t="s">
        <v>1534</v>
      </c>
      <c r="E891" t="s">
        <v>1534</v>
      </c>
      <c r="F891" t="s">
        <v>1047</v>
      </c>
      <c r="G891" t="s">
        <v>1047</v>
      </c>
      <c r="H891">
        <v>1</v>
      </c>
      <c r="I891">
        <v>1</v>
      </c>
      <c r="J891" t="s">
        <v>316</v>
      </c>
      <c r="O891" t="s">
        <v>29</v>
      </c>
      <c r="P891">
        <v>0.86</v>
      </c>
    </row>
    <row r="892" spans="1:16" x14ac:dyDescent="0.25">
      <c r="A892">
        <v>60275</v>
      </c>
      <c r="B892" t="s">
        <v>1545</v>
      </c>
      <c r="C892">
        <v>60275</v>
      </c>
      <c r="D892" t="s">
        <v>1545</v>
      </c>
      <c r="E892" t="s">
        <v>1545</v>
      </c>
      <c r="F892" t="s">
        <v>1047</v>
      </c>
      <c r="G892" t="s">
        <v>1047</v>
      </c>
      <c r="H892">
        <v>1</v>
      </c>
      <c r="I892">
        <v>1</v>
      </c>
      <c r="J892" t="s">
        <v>316</v>
      </c>
      <c r="O892" t="s">
        <v>29</v>
      </c>
      <c r="P892">
        <v>1.17</v>
      </c>
    </row>
    <row r="893" spans="1:16" x14ac:dyDescent="0.25">
      <c r="A893">
        <v>60280</v>
      </c>
      <c r="B893" t="s">
        <v>1546</v>
      </c>
      <c r="C893">
        <v>60280</v>
      </c>
      <c r="D893" t="s">
        <v>1546</v>
      </c>
      <c r="E893" t="s">
        <v>1546</v>
      </c>
      <c r="F893" t="s">
        <v>1047</v>
      </c>
      <c r="G893" t="s">
        <v>1047</v>
      </c>
      <c r="H893">
        <v>1</v>
      </c>
      <c r="I893">
        <v>1</v>
      </c>
      <c r="J893" t="s">
        <v>316</v>
      </c>
      <c r="O893" t="s">
        <v>29</v>
      </c>
      <c r="P893">
        <v>0.76</v>
      </c>
    </row>
    <row r="894" spans="1:16" x14ac:dyDescent="0.25">
      <c r="A894">
        <v>60300</v>
      </c>
      <c r="B894" t="s">
        <v>1543</v>
      </c>
      <c r="C894">
        <v>60300</v>
      </c>
      <c r="D894" t="s">
        <v>1543</v>
      </c>
      <c r="E894" t="s">
        <v>1543</v>
      </c>
      <c r="F894" t="s">
        <v>1047</v>
      </c>
      <c r="G894" t="s">
        <v>1047</v>
      </c>
      <c r="H894">
        <v>1</v>
      </c>
      <c r="I894">
        <v>1</v>
      </c>
      <c r="J894" t="s">
        <v>316</v>
      </c>
      <c r="O894" t="s">
        <v>29</v>
      </c>
      <c r="P894">
        <v>0</v>
      </c>
    </row>
    <row r="895" spans="1:16" x14ac:dyDescent="0.25">
      <c r="A895">
        <v>60305</v>
      </c>
      <c r="B895" t="s">
        <v>1542</v>
      </c>
      <c r="C895">
        <v>60305</v>
      </c>
      <c r="D895" t="s">
        <v>1542</v>
      </c>
      <c r="E895" t="s">
        <v>1542</v>
      </c>
      <c r="F895" t="s">
        <v>1047</v>
      </c>
      <c r="G895" t="s">
        <v>1047</v>
      </c>
      <c r="H895">
        <v>1</v>
      </c>
      <c r="I895">
        <v>1</v>
      </c>
      <c r="J895" t="s">
        <v>316</v>
      </c>
      <c r="O895" t="s">
        <v>29</v>
      </c>
      <c r="P895">
        <v>0</v>
      </c>
    </row>
    <row r="896" spans="1:16" x14ac:dyDescent="0.25">
      <c r="A896">
        <v>60390</v>
      </c>
      <c r="B896" t="s">
        <v>1528</v>
      </c>
      <c r="C896">
        <v>60390</v>
      </c>
      <c r="D896" t="s">
        <v>1528</v>
      </c>
      <c r="E896" t="s">
        <v>1528</v>
      </c>
      <c r="F896" t="s">
        <v>1047</v>
      </c>
      <c r="G896" t="s">
        <v>1047</v>
      </c>
      <c r="H896">
        <v>1</v>
      </c>
      <c r="I896">
        <v>1</v>
      </c>
      <c r="J896" t="s">
        <v>316</v>
      </c>
      <c r="O896" t="s">
        <v>29</v>
      </c>
      <c r="P896">
        <v>120.88</v>
      </c>
    </row>
    <row r="897" spans="1:16" x14ac:dyDescent="0.25">
      <c r="A897">
        <v>60400</v>
      </c>
      <c r="B897" t="s">
        <v>1529</v>
      </c>
      <c r="C897">
        <v>60400</v>
      </c>
      <c r="D897" t="s">
        <v>1529</v>
      </c>
      <c r="E897" t="s">
        <v>1529</v>
      </c>
      <c r="F897" t="s">
        <v>1047</v>
      </c>
      <c r="G897" t="s">
        <v>1047</v>
      </c>
      <c r="H897">
        <v>1</v>
      </c>
      <c r="I897">
        <v>1</v>
      </c>
      <c r="J897" t="s">
        <v>316</v>
      </c>
      <c r="O897" t="s">
        <v>29</v>
      </c>
      <c r="P897">
        <v>95</v>
      </c>
    </row>
    <row r="898" spans="1:16" x14ac:dyDescent="0.25">
      <c r="A898">
        <v>60500</v>
      </c>
      <c r="B898" t="s">
        <v>1518</v>
      </c>
      <c r="C898">
        <v>60500</v>
      </c>
      <c r="D898" t="s">
        <v>1518</v>
      </c>
      <c r="E898" t="s">
        <v>1518</v>
      </c>
      <c r="F898" t="s">
        <v>1047</v>
      </c>
      <c r="G898" t="s">
        <v>1047</v>
      </c>
      <c r="H898">
        <v>1</v>
      </c>
      <c r="I898">
        <v>1</v>
      </c>
      <c r="J898" t="s">
        <v>316</v>
      </c>
      <c r="O898" t="s">
        <v>29</v>
      </c>
      <c r="P898">
        <v>568</v>
      </c>
    </row>
    <row r="899" spans="1:16" x14ac:dyDescent="0.25">
      <c r="A899">
        <v>60505</v>
      </c>
      <c r="B899" t="s">
        <v>1517</v>
      </c>
      <c r="C899">
        <v>60505</v>
      </c>
      <c r="D899" t="s">
        <v>1517</v>
      </c>
      <c r="E899" t="s">
        <v>1517</v>
      </c>
      <c r="F899" t="s">
        <v>1047</v>
      </c>
      <c r="G899" t="s">
        <v>1047</v>
      </c>
      <c r="H899">
        <v>1</v>
      </c>
      <c r="I899">
        <v>1</v>
      </c>
      <c r="J899" t="s">
        <v>316</v>
      </c>
      <c r="O899" t="s">
        <v>29</v>
      </c>
      <c r="P899">
        <v>221.81</v>
      </c>
    </row>
    <row r="900" spans="1:16" x14ac:dyDescent="0.25">
      <c r="A900">
        <v>60600</v>
      </c>
      <c r="B900" t="s">
        <v>1520</v>
      </c>
      <c r="C900">
        <v>60600</v>
      </c>
      <c r="D900" t="s">
        <v>1520</v>
      </c>
      <c r="E900" t="s">
        <v>1520</v>
      </c>
      <c r="F900" t="s">
        <v>1047</v>
      </c>
      <c r="G900" t="s">
        <v>1047</v>
      </c>
      <c r="H900">
        <v>1</v>
      </c>
      <c r="I900">
        <v>1</v>
      </c>
      <c r="J900" t="s">
        <v>316</v>
      </c>
      <c r="O900" t="s">
        <v>29</v>
      </c>
      <c r="P900">
        <v>128.58000000000001</v>
      </c>
    </row>
    <row r="901" spans="1:16" x14ac:dyDescent="0.25">
      <c r="A901">
        <v>60605</v>
      </c>
      <c r="B901" t="s">
        <v>1549</v>
      </c>
      <c r="C901">
        <v>60605</v>
      </c>
      <c r="D901" t="s">
        <v>1549</v>
      </c>
      <c r="E901" t="s">
        <v>1549</v>
      </c>
      <c r="F901" t="s">
        <v>1047</v>
      </c>
      <c r="G901" t="s">
        <v>1047</v>
      </c>
      <c r="H901">
        <v>1</v>
      </c>
      <c r="I901">
        <v>1</v>
      </c>
      <c r="J901" t="s">
        <v>316</v>
      </c>
      <c r="O901" t="s">
        <v>29</v>
      </c>
      <c r="P901">
        <v>265.68</v>
      </c>
    </row>
    <row r="902" spans="1:16" x14ac:dyDescent="0.25">
      <c r="A902">
        <v>60800</v>
      </c>
      <c r="B902" t="s">
        <v>1547</v>
      </c>
      <c r="C902">
        <v>60800</v>
      </c>
      <c r="D902" t="s">
        <v>1547</v>
      </c>
      <c r="E902" t="s">
        <v>1547</v>
      </c>
      <c r="F902" t="s">
        <v>1047</v>
      </c>
      <c r="G902" t="s">
        <v>1047</v>
      </c>
      <c r="H902">
        <v>1</v>
      </c>
      <c r="I902">
        <v>1</v>
      </c>
      <c r="J902" t="s">
        <v>316</v>
      </c>
      <c r="O902" t="s">
        <v>29</v>
      </c>
      <c r="P902">
        <v>101</v>
      </c>
    </row>
    <row r="903" spans="1:16" x14ac:dyDescent="0.25">
      <c r="A903">
        <v>60810</v>
      </c>
      <c r="B903" t="s">
        <v>1548</v>
      </c>
      <c r="C903">
        <v>60810</v>
      </c>
      <c r="D903" t="s">
        <v>1548</v>
      </c>
      <c r="E903" t="s">
        <v>1548</v>
      </c>
      <c r="F903" t="s">
        <v>1047</v>
      </c>
      <c r="G903" t="s">
        <v>1047</v>
      </c>
      <c r="H903">
        <v>1</v>
      </c>
      <c r="I903">
        <v>1</v>
      </c>
      <c r="J903" t="s">
        <v>316</v>
      </c>
      <c r="O903" t="s">
        <v>29</v>
      </c>
      <c r="P903">
        <v>27.82</v>
      </c>
    </row>
    <row r="904" spans="1:16" x14ac:dyDescent="0.25">
      <c r="A904">
        <v>62200</v>
      </c>
      <c r="B904" t="s">
        <v>1519</v>
      </c>
      <c r="C904">
        <v>62200</v>
      </c>
      <c r="D904" t="s">
        <v>1519</v>
      </c>
      <c r="E904" t="s">
        <v>1519</v>
      </c>
      <c r="F904" t="s">
        <v>1047</v>
      </c>
      <c r="G904" t="s">
        <v>1047</v>
      </c>
      <c r="H904">
        <v>1</v>
      </c>
      <c r="I904">
        <v>1</v>
      </c>
      <c r="J904" t="s">
        <v>316</v>
      </c>
      <c r="O904" t="s">
        <v>29</v>
      </c>
      <c r="P904">
        <v>100.26</v>
      </c>
    </row>
    <row r="905" spans="1:16" x14ac:dyDescent="0.25">
      <c r="A905" s="181">
        <v>70000</v>
      </c>
      <c r="B905" s="181" t="s">
        <v>571</v>
      </c>
      <c r="C905">
        <v>70000</v>
      </c>
      <c r="D905" t="s">
        <v>571</v>
      </c>
      <c r="E905" t="s">
        <v>571</v>
      </c>
      <c r="F905" t="s">
        <v>1047</v>
      </c>
      <c r="G905" t="s">
        <v>1047</v>
      </c>
      <c r="H905">
        <v>1</v>
      </c>
      <c r="I905">
        <v>1</v>
      </c>
      <c r="J905" t="s">
        <v>1103</v>
      </c>
      <c r="O905" t="s">
        <v>29</v>
      </c>
      <c r="P905">
        <v>5.77</v>
      </c>
    </row>
    <row r="906" spans="1:16" x14ac:dyDescent="0.25">
      <c r="A906" s="181">
        <v>70010</v>
      </c>
      <c r="B906" s="181" t="s">
        <v>806</v>
      </c>
      <c r="C906">
        <v>70010</v>
      </c>
      <c r="D906" t="s">
        <v>806</v>
      </c>
      <c r="E906" t="s">
        <v>806</v>
      </c>
      <c r="F906" t="s">
        <v>1047</v>
      </c>
      <c r="G906" t="s">
        <v>1047</v>
      </c>
      <c r="H906">
        <v>1</v>
      </c>
      <c r="I906">
        <v>1</v>
      </c>
      <c r="J906" t="s">
        <v>1103</v>
      </c>
      <c r="O906" t="s">
        <v>29</v>
      </c>
      <c r="P906">
        <v>0.12</v>
      </c>
    </row>
    <row r="907" spans="1:16" x14ac:dyDescent="0.25">
      <c r="A907" s="181">
        <v>70015</v>
      </c>
      <c r="B907" s="181" t="s">
        <v>984</v>
      </c>
      <c r="C907">
        <v>70015</v>
      </c>
      <c r="D907" t="s">
        <v>1135</v>
      </c>
      <c r="E907" t="s">
        <v>1135</v>
      </c>
      <c r="F907" t="s">
        <v>1047</v>
      </c>
      <c r="G907" t="s">
        <v>1047</v>
      </c>
      <c r="H907">
        <v>1</v>
      </c>
      <c r="I907">
        <v>1</v>
      </c>
      <c r="J907" t="s">
        <v>1103</v>
      </c>
      <c r="O907" t="s">
        <v>29</v>
      </c>
      <c r="P907">
        <v>10.65</v>
      </c>
    </row>
    <row r="908" spans="1:16" x14ac:dyDescent="0.25">
      <c r="A908" s="181">
        <v>70020</v>
      </c>
      <c r="B908" s="181" t="s">
        <v>985</v>
      </c>
      <c r="C908">
        <v>70020</v>
      </c>
      <c r="D908" t="s">
        <v>1111</v>
      </c>
      <c r="E908" t="s">
        <v>1111</v>
      </c>
      <c r="F908" t="s">
        <v>1047</v>
      </c>
      <c r="G908" t="s">
        <v>1047</v>
      </c>
      <c r="H908">
        <v>1</v>
      </c>
      <c r="I908">
        <v>1</v>
      </c>
      <c r="J908" t="s">
        <v>1103</v>
      </c>
      <c r="O908" t="s">
        <v>29</v>
      </c>
      <c r="P908">
        <v>7.96</v>
      </c>
    </row>
    <row r="909" spans="1:16" x14ac:dyDescent="0.25">
      <c r="A909" s="181">
        <v>70022</v>
      </c>
      <c r="B909" s="181" t="s">
        <v>986</v>
      </c>
      <c r="C909">
        <v>70022</v>
      </c>
      <c r="D909" t="s">
        <v>1112</v>
      </c>
      <c r="E909" t="s">
        <v>1112</v>
      </c>
      <c r="F909" t="s">
        <v>1047</v>
      </c>
      <c r="G909" t="s">
        <v>1047</v>
      </c>
      <c r="H909">
        <v>1</v>
      </c>
      <c r="I909">
        <v>1</v>
      </c>
      <c r="J909" t="s">
        <v>1103</v>
      </c>
      <c r="O909" t="s">
        <v>29</v>
      </c>
      <c r="P909">
        <v>10.119999999999999</v>
      </c>
    </row>
    <row r="910" spans="1:16" x14ac:dyDescent="0.25">
      <c r="A910" s="181">
        <v>70025</v>
      </c>
      <c r="B910" s="181" t="s">
        <v>987</v>
      </c>
      <c r="C910">
        <v>70025</v>
      </c>
      <c r="D910" t="s">
        <v>1130</v>
      </c>
      <c r="E910" t="s">
        <v>1130</v>
      </c>
      <c r="F910" t="s">
        <v>1047</v>
      </c>
      <c r="G910" t="s">
        <v>1047</v>
      </c>
      <c r="H910">
        <v>1</v>
      </c>
      <c r="I910">
        <v>1</v>
      </c>
      <c r="J910" t="s">
        <v>1103</v>
      </c>
      <c r="O910" t="s">
        <v>29</v>
      </c>
      <c r="P910">
        <v>20.97</v>
      </c>
    </row>
    <row r="911" spans="1:16" x14ac:dyDescent="0.25">
      <c r="A911" s="181">
        <v>70030</v>
      </c>
      <c r="B911" s="181" t="s">
        <v>988</v>
      </c>
      <c r="C911">
        <v>70030</v>
      </c>
      <c r="D911" t="s">
        <v>1115</v>
      </c>
      <c r="E911" t="s">
        <v>1115</v>
      </c>
      <c r="F911" t="s">
        <v>1047</v>
      </c>
      <c r="G911" t="s">
        <v>1047</v>
      </c>
      <c r="H911">
        <v>1</v>
      </c>
      <c r="I911">
        <v>1</v>
      </c>
      <c r="J911" t="s">
        <v>1103</v>
      </c>
      <c r="O911" t="s">
        <v>29</v>
      </c>
      <c r="P911">
        <v>28.5</v>
      </c>
    </row>
    <row r="912" spans="1:16" x14ac:dyDescent="0.25">
      <c r="A912" s="181">
        <v>70040</v>
      </c>
      <c r="B912" s="181" t="s">
        <v>572</v>
      </c>
      <c r="C912">
        <v>70040</v>
      </c>
      <c r="D912" t="s">
        <v>572</v>
      </c>
      <c r="E912" t="s">
        <v>572</v>
      </c>
      <c r="F912" t="s">
        <v>1047</v>
      </c>
      <c r="G912" t="s">
        <v>1047</v>
      </c>
      <c r="H912">
        <v>1</v>
      </c>
      <c r="I912">
        <v>1</v>
      </c>
      <c r="J912" t="s">
        <v>1103</v>
      </c>
      <c r="O912" t="s">
        <v>29</v>
      </c>
      <c r="P912">
        <v>4.38</v>
      </c>
    </row>
    <row r="913" spans="1:16" x14ac:dyDescent="0.25">
      <c r="A913" s="181">
        <v>70050</v>
      </c>
      <c r="B913" s="181" t="s">
        <v>573</v>
      </c>
      <c r="C913">
        <v>70050</v>
      </c>
      <c r="D913" t="s">
        <v>573</v>
      </c>
      <c r="E913" t="s">
        <v>573</v>
      </c>
      <c r="F913" t="s">
        <v>1047</v>
      </c>
      <c r="G913" t="s">
        <v>1047</v>
      </c>
      <c r="H913">
        <v>1</v>
      </c>
      <c r="I913">
        <v>1</v>
      </c>
      <c r="J913" t="s">
        <v>1103</v>
      </c>
      <c r="O913" t="s">
        <v>29</v>
      </c>
      <c r="P913">
        <v>0.98</v>
      </c>
    </row>
    <row r="914" spans="1:16" x14ac:dyDescent="0.25">
      <c r="A914" s="181">
        <v>70060</v>
      </c>
      <c r="B914" s="181" t="s">
        <v>574</v>
      </c>
      <c r="C914">
        <v>70060</v>
      </c>
      <c r="D914" t="s">
        <v>574</v>
      </c>
      <c r="E914" t="s">
        <v>574</v>
      </c>
      <c r="F914" t="s">
        <v>1047</v>
      </c>
      <c r="G914" t="s">
        <v>1047</v>
      </c>
      <c r="H914">
        <v>1</v>
      </c>
      <c r="I914">
        <v>1</v>
      </c>
      <c r="J914" t="s">
        <v>1103</v>
      </c>
      <c r="O914" t="s">
        <v>29</v>
      </c>
      <c r="P914">
        <v>2.1800000000000002</v>
      </c>
    </row>
    <row r="915" spans="1:16" x14ac:dyDescent="0.25">
      <c r="A915" s="181">
        <v>70065</v>
      </c>
      <c r="B915" s="181" t="s">
        <v>989</v>
      </c>
      <c r="C915">
        <v>70065</v>
      </c>
      <c r="D915" t="s">
        <v>1110</v>
      </c>
      <c r="E915" t="s">
        <v>1110</v>
      </c>
      <c r="F915" t="s">
        <v>1047</v>
      </c>
      <c r="G915" t="s">
        <v>1047</v>
      </c>
      <c r="H915">
        <v>1</v>
      </c>
      <c r="I915">
        <v>1</v>
      </c>
      <c r="J915" t="s">
        <v>1103</v>
      </c>
      <c r="O915" t="s">
        <v>29</v>
      </c>
      <c r="P915">
        <v>6.52</v>
      </c>
    </row>
    <row r="916" spans="1:16" x14ac:dyDescent="0.25">
      <c r="A916" s="181">
        <v>70070</v>
      </c>
      <c r="B916" s="181" t="s">
        <v>575</v>
      </c>
      <c r="C916">
        <v>70070</v>
      </c>
      <c r="D916" t="s">
        <v>575</v>
      </c>
      <c r="E916" t="s">
        <v>575</v>
      </c>
      <c r="F916" t="s">
        <v>1047</v>
      </c>
      <c r="G916" t="s">
        <v>1047</v>
      </c>
      <c r="H916">
        <v>1</v>
      </c>
      <c r="I916">
        <v>1</v>
      </c>
      <c r="J916" t="s">
        <v>1103</v>
      </c>
      <c r="O916" t="s">
        <v>29</v>
      </c>
      <c r="P916">
        <v>2.1800000000000002</v>
      </c>
    </row>
    <row r="917" spans="1:16" x14ac:dyDescent="0.25">
      <c r="A917" s="181">
        <v>70080</v>
      </c>
      <c r="B917" s="181" t="s">
        <v>807</v>
      </c>
      <c r="C917">
        <v>70080</v>
      </c>
      <c r="D917" t="s">
        <v>1108</v>
      </c>
      <c r="E917" t="s">
        <v>1108</v>
      </c>
      <c r="F917" t="s">
        <v>1047</v>
      </c>
      <c r="G917" t="s">
        <v>1047</v>
      </c>
      <c r="H917">
        <v>1</v>
      </c>
      <c r="I917">
        <v>1</v>
      </c>
      <c r="J917" t="s">
        <v>1103</v>
      </c>
      <c r="O917" t="s">
        <v>29</v>
      </c>
      <c r="P917">
        <v>2.94</v>
      </c>
    </row>
    <row r="918" spans="1:16" x14ac:dyDescent="0.25">
      <c r="A918" s="181">
        <v>70090</v>
      </c>
      <c r="B918" s="181" t="s">
        <v>808</v>
      </c>
      <c r="C918">
        <v>70090</v>
      </c>
      <c r="D918" t="s">
        <v>1120</v>
      </c>
      <c r="E918" t="s">
        <v>1120</v>
      </c>
      <c r="F918" t="s">
        <v>1047</v>
      </c>
      <c r="G918" t="s">
        <v>1047</v>
      </c>
      <c r="H918">
        <v>1</v>
      </c>
      <c r="I918">
        <v>1</v>
      </c>
      <c r="J918" t="s">
        <v>1103</v>
      </c>
      <c r="O918" t="s">
        <v>29</v>
      </c>
      <c r="P918">
        <v>1.78</v>
      </c>
    </row>
    <row r="919" spans="1:16" x14ac:dyDescent="0.25">
      <c r="A919" s="181">
        <v>70100</v>
      </c>
      <c r="B919" s="181" t="s">
        <v>576</v>
      </c>
      <c r="C919">
        <v>70100</v>
      </c>
      <c r="D919" t="s">
        <v>576</v>
      </c>
      <c r="E919" t="s">
        <v>576</v>
      </c>
      <c r="F919" t="s">
        <v>1047</v>
      </c>
      <c r="G919" t="s">
        <v>1047</v>
      </c>
      <c r="H919">
        <v>1</v>
      </c>
      <c r="I919">
        <v>1</v>
      </c>
      <c r="J919" t="s">
        <v>1103</v>
      </c>
      <c r="O919" t="s">
        <v>29</v>
      </c>
      <c r="P919">
        <v>1.79</v>
      </c>
    </row>
    <row r="920" spans="1:16" x14ac:dyDescent="0.25">
      <c r="A920" s="181">
        <v>70110</v>
      </c>
      <c r="B920" s="181" t="s">
        <v>809</v>
      </c>
      <c r="C920">
        <v>70110</v>
      </c>
      <c r="D920" t="s">
        <v>1117</v>
      </c>
      <c r="E920" t="s">
        <v>1117</v>
      </c>
      <c r="F920" t="s">
        <v>1047</v>
      </c>
      <c r="G920" t="s">
        <v>1047</v>
      </c>
      <c r="H920">
        <v>1</v>
      </c>
      <c r="I920">
        <v>1</v>
      </c>
      <c r="J920" t="s">
        <v>1103</v>
      </c>
      <c r="O920" t="s">
        <v>29</v>
      </c>
      <c r="P920">
        <v>1.49</v>
      </c>
    </row>
    <row r="921" spans="1:16" x14ac:dyDescent="0.25">
      <c r="A921" s="181">
        <v>70120</v>
      </c>
      <c r="B921" s="181" t="s">
        <v>577</v>
      </c>
      <c r="C921">
        <v>70120</v>
      </c>
      <c r="D921" t="s">
        <v>577</v>
      </c>
      <c r="E921" t="s">
        <v>577</v>
      </c>
      <c r="F921" t="s">
        <v>1047</v>
      </c>
      <c r="G921" t="s">
        <v>1047</v>
      </c>
      <c r="H921">
        <v>1</v>
      </c>
      <c r="I921">
        <v>1</v>
      </c>
      <c r="J921" t="s">
        <v>1103</v>
      </c>
      <c r="O921" t="s">
        <v>29</v>
      </c>
      <c r="P921">
        <v>1.77</v>
      </c>
    </row>
    <row r="922" spans="1:16" x14ac:dyDescent="0.25">
      <c r="A922" s="181">
        <v>70130</v>
      </c>
      <c r="B922" s="181" t="s">
        <v>990</v>
      </c>
      <c r="C922">
        <v>70130</v>
      </c>
      <c r="D922" t="s">
        <v>1118</v>
      </c>
      <c r="E922" t="s">
        <v>1118</v>
      </c>
      <c r="F922" t="s">
        <v>1047</v>
      </c>
      <c r="G922" t="s">
        <v>1047</v>
      </c>
      <c r="H922">
        <v>1</v>
      </c>
      <c r="I922">
        <v>1</v>
      </c>
      <c r="J922" t="s">
        <v>1103</v>
      </c>
      <c r="O922" t="s">
        <v>29</v>
      </c>
      <c r="P922">
        <v>2.57</v>
      </c>
    </row>
    <row r="923" spans="1:16" x14ac:dyDescent="0.25">
      <c r="A923" s="181">
        <v>70140</v>
      </c>
      <c r="B923" s="181" t="s">
        <v>810</v>
      </c>
      <c r="C923">
        <v>70140</v>
      </c>
      <c r="D923" t="s">
        <v>1119</v>
      </c>
      <c r="E923" t="s">
        <v>1119</v>
      </c>
      <c r="F923" t="s">
        <v>1047</v>
      </c>
      <c r="G923" t="s">
        <v>1047</v>
      </c>
      <c r="H923">
        <v>1</v>
      </c>
      <c r="I923">
        <v>1</v>
      </c>
      <c r="J923" t="s">
        <v>1103</v>
      </c>
      <c r="O923" t="s">
        <v>29</v>
      </c>
      <c r="P923">
        <v>2.79</v>
      </c>
    </row>
    <row r="924" spans="1:16" x14ac:dyDescent="0.25">
      <c r="A924" s="181">
        <v>70144</v>
      </c>
      <c r="B924" s="181" t="s">
        <v>811</v>
      </c>
      <c r="C924">
        <v>70144</v>
      </c>
      <c r="D924" t="s">
        <v>811</v>
      </c>
      <c r="E924" t="s">
        <v>811</v>
      </c>
      <c r="F924" t="s">
        <v>1047</v>
      </c>
      <c r="G924" t="s">
        <v>1047</v>
      </c>
      <c r="H924">
        <v>1</v>
      </c>
      <c r="I924">
        <v>1</v>
      </c>
      <c r="J924" t="s">
        <v>1103</v>
      </c>
      <c r="O924" t="s">
        <v>29</v>
      </c>
      <c r="P924">
        <v>4.99</v>
      </c>
    </row>
    <row r="925" spans="1:16" x14ac:dyDescent="0.25">
      <c r="A925" s="181">
        <v>70150</v>
      </c>
      <c r="B925" s="181" t="s">
        <v>578</v>
      </c>
      <c r="C925">
        <v>70150</v>
      </c>
      <c r="D925" t="s">
        <v>578</v>
      </c>
      <c r="E925" t="s">
        <v>578</v>
      </c>
      <c r="F925" t="s">
        <v>1047</v>
      </c>
      <c r="G925" t="s">
        <v>1047</v>
      </c>
      <c r="H925">
        <v>1</v>
      </c>
      <c r="I925">
        <v>1</v>
      </c>
      <c r="J925" t="s">
        <v>1103</v>
      </c>
      <c r="O925" t="s">
        <v>29</v>
      </c>
      <c r="P925">
        <v>7.13</v>
      </c>
    </row>
    <row r="926" spans="1:16" x14ac:dyDescent="0.25">
      <c r="A926" s="181">
        <v>70160</v>
      </c>
      <c r="B926" s="181" t="s">
        <v>991</v>
      </c>
      <c r="C926">
        <v>70160</v>
      </c>
      <c r="D926" t="s">
        <v>1109</v>
      </c>
      <c r="E926" t="s">
        <v>1109</v>
      </c>
      <c r="F926" t="s">
        <v>1047</v>
      </c>
      <c r="G926" t="s">
        <v>1047</v>
      </c>
      <c r="H926">
        <v>1</v>
      </c>
      <c r="I926">
        <v>1</v>
      </c>
      <c r="J926" t="s">
        <v>1103</v>
      </c>
      <c r="O926" t="s">
        <v>29</v>
      </c>
      <c r="P926">
        <v>1.97</v>
      </c>
    </row>
    <row r="927" spans="1:16" x14ac:dyDescent="0.25">
      <c r="A927" s="181">
        <v>70170</v>
      </c>
      <c r="B927" s="181" t="s">
        <v>579</v>
      </c>
      <c r="C927">
        <v>70170</v>
      </c>
      <c r="D927" t="s">
        <v>579</v>
      </c>
      <c r="E927" t="s">
        <v>579</v>
      </c>
      <c r="F927" t="s">
        <v>1047</v>
      </c>
      <c r="G927" t="s">
        <v>1047</v>
      </c>
      <c r="H927">
        <v>1</v>
      </c>
      <c r="I927">
        <v>1</v>
      </c>
      <c r="J927" t="s">
        <v>1103</v>
      </c>
      <c r="O927" t="s">
        <v>29</v>
      </c>
      <c r="P927">
        <v>2.85</v>
      </c>
    </row>
    <row r="928" spans="1:16" x14ac:dyDescent="0.25">
      <c r="A928" s="181">
        <v>70180</v>
      </c>
      <c r="B928" s="181" t="s">
        <v>580</v>
      </c>
      <c r="C928">
        <v>70180</v>
      </c>
      <c r="D928" t="s">
        <v>580</v>
      </c>
      <c r="E928" t="s">
        <v>580</v>
      </c>
      <c r="F928" t="s">
        <v>1047</v>
      </c>
      <c r="G928" t="s">
        <v>1047</v>
      </c>
      <c r="H928">
        <v>1</v>
      </c>
      <c r="I928">
        <v>1</v>
      </c>
      <c r="J928" t="s">
        <v>1103</v>
      </c>
      <c r="O928" t="s">
        <v>29</v>
      </c>
      <c r="P928">
        <v>3.44</v>
      </c>
    </row>
    <row r="929" spans="1:16" x14ac:dyDescent="0.25">
      <c r="A929" s="181">
        <v>70190</v>
      </c>
      <c r="B929" s="181" t="s">
        <v>812</v>
      </c>
      <c r="C929">
        <v>70190</v>
      </c>
      <c r="D929" t="s">
        <v>1113</v>
      </c>
      <c r="E929" t="s">
        <v>1113</v>
      </c>
      <c r="F929" t="s">
        <v>1047</v>
      </c>
      <c r="G929" t="s">
        <v>1047</v>
      </c>
      <c r="H929">
        <v>1</v>
      </c>
      <c r="I929">
        <v>1</v>
      </c>
      <c r="J929" t="s">
        <v>1103</v>
      </c>
      <c r="O929" t="s">
        <v>29</v>
      </c>
      <c r="P929">
        <v>9.6199999999999992</v>
      </c>
    </row>
    <row r="930" spans="1:16" x14ac:dyDescent="0.25">
      <c r="A930" s="181">
        <v>70200</v>
      </c>
      <c r="B930" s="181" t="s">
        <v>581</v>
      </c>
      <c r="C930">
        <v>70200</v>
      </c>
      <c r="D930" t="s">
        <v>581</v>
      </c>
      <c r="E930" t="s">
        <v>581</v>
      </c>
      <c r="F930" t="s">
        <v>1047</v>
      </c>
      <c r="G930" t="s">
        <v>1047</v>
      </c>
      <c r="H930">
        <v>1</v>
      </c>
      <c r="I930">
        <v>1</v>
      </c>
      <c r="J930" t="s">
        <v>1103</v>
      </c>
      <c r="O930" t="s">
        <v>29</v>
      </c>
      <c r="P930">
        <v>16</v>
      </c>
    </row>
    <row r="931" spans="1:16" x14ac:dyDescent="0.25">
      <c r="A931" s="181">
        <v>70205</v>
      </c>
      <c r="B931" s="181" t="s">
        <v>813</v>
      </c>
      <c r="C931">
        <v>70205</v>
      </c>
      <c r="D931" t="s">
        <v>813</v>
      </c>
      <c r="E931" t="s">
        <v>813</v>
      </c>
      <c r="F931" t="s">
        <v>1047</v>
      </c>
      <c r="G931" t="s">
        <v>1047</v>
      </c>
      <c r="H931">
        <v>1</v>
      </c>
      <c r="I931">
        <v>1</v>
      </c>
      <c r="J931" t="s">
        <v>1103</v>
      </c>
      <c r="O931" t="s">
        <v>29</v>
      </c>
      <c r="P931">
        <v>45.04</v>
      </c>
    </row>
    <row r="932" spans="1:16" x14ac:dyDescent="0.25">
      <c r="A932" s="181">
        <v>70210</v>
      </c>
      <c r="B932" s="181" t="s">
        <v>992</v>
      </c>
      <c r="C932">
        <v>70210</v>
      </c>
      <c r="D932" t="s">
        <v>992</v>
      </c>
      <c r="E932" t="s">
        <v>992</v>
      </c>
      <c r="F932" t="s">
        <v>1047</v>
      </c>
      <c r="G932" t="s">
        <v>1047</v>
      </c>
      <c r="H932">
        <v>1</v>
      </c>
      <c r="I932">
        <v>1</v>
      </c>
      <c r="J932" t="s">
        <v>1103</v>
      </c>
      <c r="O932" t="s">
        <v>29</v>
      </c>
      <c r="P932">
        <v>121.86</v>
      </c>
    </row>
    <row r="933" spans="1:16" x14ac:dyDescent="0.25">
      <c r="A933" s="181">
        <v>70220</v>
      </c>
      <c r="B933" s="181" t="s">
        <v>814</v>
      </c>
      <c r="C933">
        <v>70220</v>
      </c>
      <c r="D933" t="s">
        <v>814</v>
      </c>
      <c r="E933" t="s">
        <v>814</v>
      </c>
      <c r="F933" t="s">
        <v>1047</v>
      </c>
      <c r="G933" t="s">
        <v>1047</v>
      </c>
      <c r="H933">
        <v>1</v>
      </c>
      <c r="I933">
        <v>1</v>
      </c>
      <c r="J933" t="s">
        <v>1103</v>
      </c>
      <c r="O933" t="s">
        <v>29</v>
      </c>
      <c r="P933">
        <v>243.73</v>
      </c>
    </row>
    <row r="934" spans="1:16" x14ac:dyDescent="0.25">
      <c r="A934" s="181">
        <v>70230</v>
      </c>
      <c r="B934" s="181" t="s">
        <v>993</v>
      </c>
      <c r="C934">
        <v>70230</v>
      </c>
      <c r="D934" t="s">
        <v>993</v>
      </c>
      <c r="E934" t="s">
        <v>993</v>
      </c>
      <c r="F934" t="s">
        <v>1047</v>
      </c>
      <c r="G934" t="s">
        <v>1047</v>
      </c>
      <c r="H934">
        <v>1</v>
      </c>
      <c r="I934">
        <v>1</v>
      </c>
      <c r="J934" t="s">
        <v>1103</v>
      </c>
      <c r="O934" t="s">
        <v>29</v>
      </c>
      <c r="P934">
        <v>608.92999999999995</v>
      </c>
    </row>
    <row r="935" spans="1:16" x14ac:dyDescent="0.25">
      <c r="A935" s="181">
        <v>70240</v>
      </c>
      <c r="B935" s="181" t="s">
        <v>815</v>
      </c>
      <c r="C935">
        <v>70240</v>
      </c>
      <c r="D935" t="s">
        <v>815</v>
      </c>
      <c r="E935" t="s">
        <v>815</v>
      </c>
      <c r="F935" t="s">
        <v>1047</v>
      </c>
      <c r="G935" t="s">
        <v>1047</v>
      </c>
      <c r="H935">
        <v>1</v>
      </c>
      <c r="I935">
        <v>1</v>
      </c>
      <c r="J935" t="s">
        <v>1103</v>
      </c>
      <c r="O935" t="s">
        <v>29</v>
      </c>
      <c r="P935">
        <v>159.04</v>
      </c>
    </row>
    <row r="936" spans="1:16" x14ac:dyDescent="0.25">
      <c r="A936" s="181">
        <v>70250</v>
      </c>
      <c r="B936" s="181" t="s">
        <v>994</v>
      </c>
      <c r="C936">
        <v>70250</v>
      </c>
      <c r="D936" t="s">
        <v>1132</v>
      </c>
      <c r="E936" t="s">
        <v>1132</v>
      </c>
      <c r="F936" t="s">
        <v>1047</v>
      </c>
      <c r="G936" t="s">
        <v>1047</v>
      </c>
      <c r="H936">
        <v>1</v>
      </c>
      <c r="I936">
        <v>1</v>
      </c>
      <c r="J936" t="s">
        <v>1103</v>
      </c>
      <c r="O936" t="s">
        <v>29</v>
      </c>
      <c r="P936">
        <v>318.11</v>
      </c>
    </row>
    <row r="937" spans="1:16" x14ac:dyDescent="0.25">
      <c r="A937" s="181">
        <v>70260</v>
      </c>
      <c r="B937" s="181" t="s">
        <v>995</v>
      </c>
      <c r="C937">
        <v>70260</v>
      </c>
      <c r="D937" t="s">
        <v>995</v>
      </c>
      <c r="E937" t="s">
        <v>995</v>
      </c>
      <c r="F937" t="s">
        <v>1047</v>
      </c>
      <c r="G937" t="s">
        <v>1047</v>
      </c>
      <c r="H937">
        <v>1</v>
      </c>
      <c r="I937">
        <v>1</v>
      </c>
      <c r="J937" t="s">
        <v>1103</v>
      </c>
      <c r="O937" t="s">
        <v>29</v>
      </c>
      <c r="P937">
        <v>794.76</v>
      </c>
    </row>
    <row r="938" spans="1:16" x14ac:dyDescent="0.25">
      <c r="A938" s="181">
        <v>70700</v>
      </c>
      <c r="B938" s="219" t="s">
        <v>1013</v>
      </c>
      <c r="C938">
        <v>70700</v>
      </c>
      <c r="D938" t="s">
        <v>1106</v>
      </c>
      <c r="E938" t="s">
        <v>1106</v>
      </c>
      <c r="F938" t="s">
        <v>1047</v>
      </c>
      <c r="G938" t="s">
        <v>1047</v>
      </c>
      <c r="H938">
        <v>1</v>
      </c>
      <c r="I938">
        <v>1</v>
      </c>
      <c r="J938" t="s">
        <v>1103</v>
      </c>
      <c r="O938" t="s">
        <v>29</v>
      </c>
      <c r="P938">
        <v>437.67</v>
      </c>
    </row>
    <row r="939" spans="1:16" x14ac:dyDescent="0.25">
      <c r="A939" s="181">
        <v>70705</v>
      </c>
      <c r="B939" s="219" t="s">
        <v>1014</v>
      </c>
      <c r="C939">
        <v>70705</v>
      </c>
      <c r="D939" t="s">
        <v>1105</v>
      </c>
      <c r="E939" t="s">
        <v>1105</v>
      </c>
      <c r="F939" t="s">
        <v>1047</v>
      </c>
      <c r="G939" t="s">
        <v>1047</v>
      </c>
      <c r="H939">
        <v>1</v>
      </c>
      <c r="I939">
        <v>1</v>
      </c>
      <c r="J939" t="s">
        <v>1103</v>
      </c>
      <c r="O939" t="s">
        <v>29</v>
      </c>
      <c r="P939">
        <v>875.35</v>
      </c>
    </row>
    <row r="940" spans="1:16" x14ac:dyDescent="0.25">
      <c r="A940" s="181">
        <v>70270</v>
      </c>
      <c r="B940" s="181" t="s">
        <v>582</v>
      </c>
      <c r="C940">
        <v>70270</v>
      </c>
      <c r="D940" t="s">
        <v>582</v>
      </c>
      <c r="E940" t="s">
        <v>582</v>
      </c>
      <c r="F940" t="s">
        <v>1047</v>
      </c>
      <c r="G940" t="s">
        <v>1047</v>
      </c>
      <c r="H940">
        <v>1</v>
      </c>
      <c r="I940">
        <v>1</v>
      </c>
      <c r="J940" t="s">
        <v>1103</v>
      </c>
      <c r="O940" t="s">
        <v>29</v>
      </c>
      <c r="P940">
        <v>10.08</v>
      </c>
    </row>
    <row r="941" spans="1:16" x14ac:dyDescent="0.25">
      <c r="A941" s="181">
        <v>70280</v>
      </c>
      <c r="B941" s="181" t="s">
        <v>583</v>
      </c>
      <c r="C941">
        <v>70280</v>
      </c>
      <c r="D941" t="s">
        <v>583</v>
      </c>
      <c r="E941" t="s">
        <v>583</v>
      </c>
      <c r="F941" t="s">
        <v>1047</v>
      </c>
      <c r="G941" t="s">
        <v>1047</v>
      </c>
      <c r="H941">
        <v>1</v>
      </c>
      <c r="I941">
        <v>1</v>
      </c>
      <c r="J941" t="s">
        <v>1103</v>
      </c>
      <c r="O941" t="s">
        <v>29</v>
      </c>
      <c r="P941">
        <v>13.74</v>
      </c>
    </row>
    <row r="942" spans="1:16" x14ac:dyDescent="0.25">
      <c r="A942" s="181">
        <v>70290</v>
      </c>
      <c r="B942" s="181" t="s">
        <v>996</v>
      </c>
      <c r="C942">
        <v>70290</v>
      </c>
      <c r="D942" t="s">
        <v>1114</v>
      </c>
      <c r="E942" t="s">
        <v>1114</v>
      </c>
      <c r="F942" t="s">
        <v>1047</v>
      </c>
      <c r="G942" t="s">
        <v>1047</v>
      </c>
      <c r="H942">
        <v>1</v>
      </c>
      <c r="I942">
        <v>1</v>
      </c>
      <c r="J942" t="s">
        <v>1103</v>
      </c>
      <c r="O942" t="s">
        <v>29</v>
      </c>
      <c r="P942">
        <v>0</v>
      </c>
    </row>
    <row r="943" spans="1:16" x14ac:dyDescent="0.25">
      <c r="A943" s="181">
        <v>70300</v>
      </c>
      <c r="B943" s="181" t="s">
        <v>997</v>
      </c>
      <c r="C943">
        <v>70300</v>
      </c>
      <c r="D943" t="s">
        <v>1133</v>
      </c>
      <c r="E943" t="s">
        <v>1133</v>
      </c>
      <c r="F943" t="s">
        <v>1047</v>
      </c>
      <c r="G943" t="s">
        <v>1047</v>
      </c>
      <c r="H943">
        <v>1</v>
      </c>
      <c r="I943">
        <v>1</v>
      </c>
      <c r="J943" t="s">
        <v>1103</v>
      </c>
      <c r="O943" t="s">
        <v>29</v>
      </c>
      <c r="P943">
        <v>0</v>
      </c>
    </row>
    <row r="944" spans="1:16" x14ac:dyDescent="0.25">
      <c r="A944" s="181">
        <v>70310</v>
      </c>
      <c r="B944" s="181" t="s">
        <v>584</v>
      </c>
      <c r="C944">
        <v>70310</v>
      </c>
      <c r="D944" t="s">
        <v>584</v>
      </c>
      <c r="E944" t="s">
        <v>584</v>
      </c>
      <c r="F944" t="s">
        <v>1047</v>
      </c>
      <c r="G944" t="s">
        <v>1047</v>
      </c>
      <c r="H944">
        <v>1</v>
      </c>
      <c r="I944">
        <v>1</v>
      </c>
      <c r="J944" t="s">
        <v>1103</v>
      </c>
      <c r="O944" t="s">
        <v>29</v>
      </c>
      <c r="P944">
        <v>7.46</v>
      </c>
    </row>
    <row r="945" spans="1:16" x14ac:dyDescent="0.25">
      <c r="A945" s="181">
        <v>70320</v>
      </c>
      <c r="B945" s="181" t="s">
        <v>585</v>
      </c>
      <c r="C945">
        <v>70320</v>
      </c>
      <c r="D945" t="s">
        <v>585</v>
      </c>
      <c r="E945" t="s">
        <v>585</v>
      </c>
      <c r="F945" t="s">
        <v>1047</v>
      </c>
      <c r="G945" t="s">
        <v>1047</v>
      </c>
      <c r="H945">
        <v>1</v>
      </c>
      <c r="I945">
        <v>1</v>
      </c>
      <c r="J945" t="s">
        <v>1103</v>
      </c>
      <c r="O945" t="s">
        <v>29</v>
      </c>
      <c r="P945">
        <v>12.43</v>
      </c>
    </row>
    <row r="946" spans="1:16" x14ac:dyDescent="0.25">
      <c r="A946" s="181">
        <v>70330</v>
      </c>
      <c r="B946" s="181" t="s">
        <v>998</v>
      </c>
      <c r="C946">
        <v>70330</v>
      </c>
      <c r="D946" t="s">
        <v>998</v>
      </c>
      <c r="E946" t="s">
        <v>998</v>
      </c>
      <c r="F946" t="s">
        <v>1047</v>
      </c>
      <c r="G946" t="s">
        <v>1047</v>
      </c>
      <c r="H946">
        <v>1</v>
      </c>
      <c r="I946">
        <v>1</v>
      </c>
      <c r="J946" t="s">
        <v>1103</v>
      </c>
      <c r="O946" t="s">
        <v>29</v>
      </c>
      <c r="P946">
        <v>7.46</v>
      </c>
    </row>
    <row r="947" spans="1:16" x14ac:dyDescent="0.25">
      <c r="A947" s="181">
        <v>70340</v>
      </c>
      <c r="B947" s="181" t="s">
        <v>999</v>
      </c>
      <c r="C947">
        <v>70340</v>
      </c>
      <c r="D947" t="s">
        <v>1116</v>
      </c>
      <c r="E947" t="s">
        <v>1116</v>
      </c>
      <c r="F947" t="s">
        <v>1047</v>
      </c>
      <c r="G947" t="s">
        <v>1047</v>
      </c>
      <c r="H947">
        <v>1</v>
      </c>
      <c r="I947">
        <v>1</v>
      </c>
      <c r="J947" t="s">
        <v>1103</v>
      </c>
      <c r="O947" t="s">
        <v>29</v>
      </c>
      <c r="P947">
        <v>2.2200000000000002</v>
      </c>
    </row>
    <row r="948" spans="1:16" x14ac:dyDescent="0.25">
      <c r="A948" s="181">
        <v>70350</v>
      </c>
      <c r="B948" s="181" t="s">
        <v>1000</v>
      </c>
      <c r="C948">
        <v>70350</v>
      </c>
      <c r="D948" t="s">
        <v>1000</v>
      </c>
      <c r="E948" t="s">
        <v>1000</v>
      </c>
      <c r="F948" t="s">
        <v>1047</v>
      </c>
      <c r="G948" t="s">
        <v>1047</v>
      </c>
      <c r="H948">
        <v>1</v>
      </c>
      <c r="I948">
        <v>1</v>
      </c>
      <c r="J948" t="s">
        <v>1103</v>
      </c>
      <c r="O948" t="s">
        <v>29</v>
      </c>
      <c r="P948">
        <v>11.18</v>
      </c>
    </row>
    <row r="949" spans="1:16" x14ac:dyDescent="0.25">
      <c r="A949" s="181">
        <v>70360</v>
      </c>
      <c r="B949" s="181" t="s">
        <v>586</v>
      </c>
      <c r="C949">
        <v>70360</v>
      </c>
      <c r="D949" t="s">
        <v>586</v>
      </c>
      <c r="E949" t="s">
        <v>586</v>
      </c>
      <c r="F949" t="s">
        <v>1047</v>
      </c>
      <c r="G949" t="s">
        <v>1047</v>
      </c>
      <c r="H949">
        <v>1</v>
      </c>
      <c r="I949">
        <v>1</v>
      </c>
      <c r="J949" t="s">
        <v>1103</v>
      </c>
      <c r="O949" t="s">
        <v>29</v>
      </c>
      <c r="P949">
        <v>11.43</v>
      </c>
    </row>
    <row r="950" spans="1:16" x14ac:dyDescent="0.25">
      <c r="A950" s="181">
        <v>70710</v>
      </c>
      <c r="B950" s="181" t="s">
        <v>1015</v>
      </c>
      <c r="C950">
        <v>70710</v>
      </c>
      <c r="D950" t="s">
        <v>1107</v>
      </c>
      <c r="E950" t="s">
        <v>1107</v>
      </c>
      <c r="F950" t="s">
        <v>1047</v>
      </c>
      <c r="G950" t="s">
        <v>1047</v>
      </c>
      <c r="H950">
        <v>1</v>
      </c>
      <c r="I950">
        <v>1</v>
      </c>
      <c r="J950" t="s">
        <v>1103</v>
      </c>
      <c r="O950" t="s">
        <v>29</v>
      </c>
      <c r="P950">
        <v>15.23</v>
      </c>
    </row>
    <row r="951" spans="1:16" x14ac:dyDescent="0.25">
      <c r="A951" s="181">
        <v>70370</v>
      </c>
      <c r="B951" s="181" t="s">
        <v>816</v>
      </c>
      <c r="C951">
        <v>70370</v>
      </c>
      <c r="D951" t="s">
        <v>816</v>
      </c>
      <c r="E951" t="s">
        <v>816</v>
      </c>
      <c r="F951" t="s">
        <v>1047</v>
      </c>
      <c r="G951" t="s">
        <v>1047</v>
      </c>
      <c r="H951">
        <v>1</v>
      </c>
      <c r="I951">
        <v>1</v>
      </c>
      <c r="J951" t="s">
        <v>1103</v>
      </c>
      <c r="O951" t="s">
        <v>29</v>
      </c>
      <c r="P951">
        <v>31.72</v>
      </c>
    </row>
    <row r="952" spans="1:16" x14ac:dyDescent="0.25">
      <c r="A952" s="181">
        <v>70380</v>
      </c>
      <c r="B952" s="181" t="s">
        <v>587</v>
      </c>
      <c r="C952">
        <v>70380</v>
      </c>
      <c r="D952" t="s">
        <v>587</v>
      </c>
      <c r="E952" t="s">
        <v>587</v>
      </c>
      <c r="F952" t="s">
        <v>1047</v>
      </c>
      <c r="G952" t="s">
        <v>1047</v>
      </c>
      <c r="H952">
        <v>1</v>
      </c>
      <c r="I952">
        <v>1</v>
      </c>
      <c r="J952" t="s">
        <v>1103</v>
      </c>
      <c r="O952" t="s">
        <v>29</v>
      </c>
      <c r="P952">
        <v>1.06</v>
      </c>
    </row>
    <row r="953" spans="1:16" x14ac:dyDescent="0.25">
      <c r="A953" s="181">
        <v>70390</v>
      </c>
      <c r="B953" s="181" t="s">
        <v>588</v>
      </c>
      <c r="C953">
        <v>70390</v>
      </c>
      <c r="D953" t="s">
        <v>588</v>
      </c>
      <c r="E953" t="s">
        <v>588</v>
      </c>
      <c r="F953" t="s">
        <v>1047</v>
      </c>
      <c r="G953" t="s">
        <v>1047</v>
      </c>
      <c r="H953">
        <v>1</v>
      </c>
      <c r="I953">
        <v>1</v>
      </c>
      <c r="J953" t="s">
        <v>1103</v>
      </c>
      <c r="O953" t="s">
        <v>29</v>
      </c>
      <c r="P953">
        <v>2.09</v>
      </c>
    </row>
    <row r="954" spans="1:16" x14ac:dyDescent="0.25">
      <c r="A954" s="181">
        <v>70400</v>
      </c>
      <c r="B954" s="181" t="s">
        <v>817</v>
      </c>
      <c r="C954">
        <v>70400</v>
      </c>
      <c r="D954" t="s">
        <v>1138</v>
      </c>
      <c r="E954" t="s">
        <v>1138</v>
      </c>
      <c r="F954" t="s">
        <v>1047</v>
      </c>
      <c r="G954" t="s">
        <v>1047</v>
      </c>
      <c r="H954">
        <v>1</v>
      </c>
      <c r="I954">
        <v>1</v>
      </c>
      <c r="J954" t="s">
        <v>1103</v>
      </c>
      <c r="O954" t="s">
        <v>29</v>
      </c>
      <c r="P954">
        <v>4.3499999999999996</v>
      </c>
    </row>
    <row r="955" spans="1:16" x14ac:dyDescent="0.25">
      <c r="A955" s="181">
        <v>70405</v>
      </c>
      <c r="B955" s="181" t="s">
        <v>818</v>
      </c>
      <c r="C955">
        <v>70405</v>
      </c>
      <c r="D955" t="s">
        <v>818</v>
      </c>
      <c r="E955" t="s">
        <v>818</v>
      </c>
      <c r="F955" t="s">
        <v>1047</v>
      </c>
      <c r="G955" t="s">
        <v>1047</v>
      </c>
      <c r="H955">
        <v>1</v>
      </c>
      <c r="I955">
        <v>1</v>
      </c>
      <c r="J955" t="s">
        <v>1103</v>
      </c>
      <c r="O955" t="s">
        <v>29</v>
      </c>
      <c r="P955">
        <v>2.09</v>
      </c>
    </row>
    <row r="956" spans="1:16" x14ac:dyDescent="0.25">
      <c r="A956" s="181">
        <v>70410</v>
      </c>
      <c r="B956" s="181" t="s">
        <v>819</v>
      </c>
      <c r="C956">
        <v>70410</v>
      </c>
      <c r="D956" t="s">
        <v>1121</v>
      </c>
      <c r="E956" t="s">
        <v>1121</v>
      </c>
      <c r="F956" t="s">
        <v>1047</v>
      </c>
      <c r="G956" t="s">
        <v>1047</v>
      </c>
      <c r="H956">
        <v>1</v>
      </c>
      <c r="I956">
        <v>1</v>
      </c>
      <c r="J956" t="s">
        <v>1103</v>
      </c>
      <c r="O956" t="s">
        <v>29</v>
      </c>
      <c r="P956">
        <v>2.73</v>
      </c>
    </row>
    <row r="957" spans="1:16" x14ac:dyDescent="0.25">
      <c r="A957" s="181">
        <v>70420</v>
      </c>
      <c r="B957" s="181" t="s">
        <v>820</v>
      </c>
      <c r="C957">
        <v>70420</v>
      </c>
      <c r="D957" t="s">
        <v>820</v>
      </c>
      <c r="E957" t="s">
        <v>820</v>
      </c>
      <c r="F957" t="s">
        <v>1047</v>
      </c>
      <c r="G957" t="s">
        <v>1047</v>
      </c>
      <c r="H957">
        <v>1</v>
      </c>
      <c r="I957">
        <v>1</v>
      </c>
      <c r="J957" t="s">
        <v>1103</v>
      </c>
      <c r="O957" t="s">
        <v>29</v>
      </c>
      <c r="P957">
        <v>9.77</v>
      </c>
    </row>
    <row r="958" spans="1:16" x14ac:dyDescent="0.25">
      <c r="A958" s="181">
        <v>70430</v>
      </c>
      <c r="B958" s="181" t="s">
        <v>821</v>
      </c>
      <c r="C958">
        <v>70430</v>
      </c>
      <c r="D958" t="s">
        <v>821</v>
      </c>
      <c r="E958" t="s">
        <v>821</v>
      </c>
      <c r="F958" t="s">
        <v>1047</v>
      </c>
      <c r="G958" t="s">
        <v>1047</v>
      </c>
      <c r="H958">
        <v>1</v>
      </c>
      <c r="I958">
        <v>1</v>
      </c>
      <c r="J958" t="s">
        <v>1103</v>
      </c>
      <c r="O958" t="s">
        <v>29</v>
      </c>
      <c r="P958">
        <v>10.76</v>
      </c>
    </row>
    <row r="959" spans="1:16" x14ac:dyDescent="0.25">
      <c r="A959" s="181">
        <v>70680</v>
      </c>
      <c r="B959" s="181" t="s">
        <v>838</v>
      </c>
      <c r="C959">
        <v>70680</v>
      </c>
      <c r="D959" t="s">
        <v>1141</v>
      </c>
      <c r="E959" t="s">
        <v>1141</v>
      </c>
      <c r="F959" t="s">
        <v>1047</v>
      </c>
      <c r="G959" t="s">
        <v>1047</v>
      </c>
      <c r="H959">
        <v>1</v>
      </c>
      <c r="I959">
        <v>1</v>
      </c>
      <c r="J959" t="s">
        <v>1103</v>
      </c>
      <c r="O959" t="s">
        <v>29</v>
      </c>
      <c r="P959">
        <v>48.43</v>
      </c>
    </row>
    <row r="960" spans="1:16" x14ac:dyDescent="0.25">
      <c r="A960" s="181">
        <v>70440</v>
      </c>
      <c r="B960" s="181" t="s">
        <v>1002</v>
      </c>
      <c r="C960">
        <v>70440</v>
      </c>
      <c r="D960" t="s">
        <v>1002</v>
      </c>
      <c r="E960" t="s">
        <v>1002</v>
      </c>
      <c r="F960" t="s">
        <v>1047</v>
      </c>
      <c r="G960" t="s">
        <v>1047</v>
      </c>
      <c r="H960">
        <v>1</v>
      </c>
      <c r="I960">
        <v>1</v>
      </c>
      <c r="J960" t="s">
        <v>1103</v>
      </c>
      <c r="O960" t="s">
        <v>29</v>
      </c>
      <c r="P960">
        <v>11.12</v>
      </c>
    </row>
    <row r="961" spans="1:16" x14ac:dyDescent="0.25">
      <c r="A961" s="181">
        <v>70445</v>
      </c>
      <c r="B961" s="181" t="s">
        <v>1001</v>
      </c>
      <c r="C961">
        <v>70445</v>
      </c>
      <c r="D961" t="s">
        <v>1001</v>
      </c>
      <c r="E961" t="s">
        <v>1001</v>
      </c>
      <c r="F961" t="s">
        <v>1047</v>
      </c>
      <c r="G961" t="s">
        <v>1047</v>
      </c>
      <c r="H961">
        <v>1</v>
      </c>
      <c r="I961">
        <v>1</v>
      </c>
      <c r="J961" t="s">
        <v>1103</v>
      </c>
      <c r="O961" t="s">
        <v>29</v>
      </c>
      <c r="P961">
        <v>11.12</v>
      </c>
    </row>
    <row r="962" spans="1:16" x14ac:dyDescent="0.25">
      <c r="A962" s="181">
        <v>70450</v>
      </c>
      <c r="B962" s="181" t="s">
        <v>1003</v>
      </c>
      <c r="C962">
        <v>70450</v>
      </c>
      <c r="D962" t="s">
        <v>1003</v>
      </c>
      <c r="E962" t="s">
        <v>1003</v>
      </c>
      <c r="F962" t="s">
        <v>1047</v>
      </c>
      <c r="G962" t="s">
        <v>1047</v>
      </c>
      <c r="H962">
        <v>1</v>
      </c>
      <c r="I962">
        <v>1</v>
      </c>
      <c r="J962" t="s">
        <v>1103</v>
      </c>
      <c r="O962" t="s">
        <v>29</v>
      </c>
      <c r="P962">
        <v>9.36</v>
      </c>
    </row>
    <row r="963" spans="1:16" x14ac:dyDescent="0.25">
      <c r="A963" s="181">
        <v>70460</v>
      </c>
      <c r="B963" s="181" t="s">
        <v>822</v>
      </c>
      <c r="C963">
        <v>70460</v>
      </c>
      <c r="D963" t="s">
        <v>1124</v>
      </c>
      <c r="E963" t="s">
        <v>1124</v>
      </c>
      <c r="F963" t="s">
        <v>1047</v>
      </c>
      <c r="G963" t="s">
        <v>1047</v>
      </c>
      <c r="H963">
        <v>1</v>
      </c>
      <c r="I963">
        <v>1</v>
      </c>
      <c r="J963" t="s">
        <v>1103</v>
      </c>
      <c r="O963" t="s">
        <v>29</v>
      </c>
      <c r="P963">
        <v>4.83</v>
      </c>
    </row>
    <row r="964" spans="1:16" x14ac:dyDescent="0.25">
      <c r="A964" s="181">
        <v>70470</v>
      </c>
      <c r="B964" s="181" t="s">
        <v>823</v>
      </c>
      <c r="C964">
        <v>70470</v>
      </c>
      <c r="D964" t="s">
        <v>1122</v>
      </c>
      <c r="E964" t="s">
        <v>1122</v>
      </c>
      <c r="F964" t="s">
        <v>1047</v>
      </c>
      <c r="G964" t="s">
        <v>1047</v>
      </c>
      <c r="H964">
        <v>1</v>
      </c>
      <c r="I964">
        <v>1</v>
      </c>
      <c r="J964" t="s">
        <v>1103</v>
      </c>
      <c r="O964" t="s">
        <v>29</v>
      </c>
      <c r="P964">
        <v>1.55</v>
      </c>
    </row>
    <row r="965" spans="1:16" x14ac:dyDescent="0.25">
      <c r="A965" s="181">
        <v>70480</v>
      </c>
      <c r="B965" s="181" t="s">
        <v>824</v>
      </c>
      <c r="C965">
        <v>70480</v>
      </c>
      <c r="D965" t="s">
        <v>1123</v>
      </c>
      <c r="E965" t="s">
        <v>1123</v>
      </c>
      <c r="F965" t="s">
        <v>1047</v>
      </c>
      <c r="G965" t="s">
        <v>1047</v>
      </c>
      <c r="H965">
        <v>1</v>
      </c>
      <c r="I965">
        <v>1</v>
      </c>
      <c r="J965" t="s">
        <v>1103</v>
      </c>
      <c r="O965" t="s">
        <v>29</v>
      </c>
      <c r="P965">
        <v>2.64</v>
      </c>
    </row>
    <row r="966" spans="1:16" x14ac:dyDescent="0.25">
      <c r="A966" s="181">
        <v>70485</v>
      </c>
      <c r="B966" s="181" t="s">
        <v>825</v>
      </c>
      <c r="C966">
        <v>70485</v>
      </c>
      <c r="D966" t="s">
        <v>1127</v>
      </c>
      <c r="E966" t="s">
        <v>1127</v>
      </c>
      <c r="F966" t="s">
        <v>1047</v>
      </c>
      <c r="G966" t="s">
        <v>1047</v>
      </c>
      <c r="H966">
        <v>1</v>
      </c>
      <c r="I966">
        <v>1</v>
      </c>
      <c r="J966" t="s">
        <v>1103</v>
      </c>
      <c r="O966" t="s">
        <v>29</v>
      </c>
      <c r="P966">
        <v>6.82</v>
      </c>
    </row>
    <row r="967" spans="1:16" x14ac:dyDescent="0.25">
      <c r="A967" s="181">
        <v>70490</v>
      </c>
      <c r="B967" s="181" t="s">
        <v>1004</v>
      </c>
      <c r="C967">
        <v>70490</v>
      </c>
      <c r="D967" t="s">
        <v>1125</v>
      </c>
      <c r="E967" t="s">
        <v>1125</v>
      </c>
      <c r="F967" t="s">
        <v>1047</v>
      </c>
      <c r="G967" t="s">
        <v>1047</v>
      </c>
      <c r="H967">
        <v>1</v>
      </c>
      <c r="I967">
        <v>1</v>
      </c>
      <c r="J967" t="s">
        <v>1103</v>
      </c>
      <c r="O967" t="s">
        <v>29</v>
      </c>
      <c r="P967">
        <v>2.94</v>
      </c>
    </row>
    <row r="968" spans="1:16" x14ac:dyDescent="0.25">
      <c r="A968" s="181">
        <v>70500</v>
      </c>
      <c r="B968" s="181" t="s">
        <v>826</v>
      </c>
      <c r="C968">
        <v>70500</v>
      </c>
      <c r="D968" t="s">
        <v>1126</v>
      </c>
      <c r="E968" t="s">
        <v>1126</v>
      </c>
      <c r="F968" t="s">
        <v>1047</v>
      </c>
      <c r="G968" t="s">
        <v>1047</v>
      </c>
      <c r="H968">
        <v>1</v>
      </c>
      <c r="I968">
        <v>1</v>
      </c>
      <c r="J968" t="s">
        <v>1103</v>
      </c>
      <c r="O968" t="s">
        <v>29</v>
      </c>
      <c r="P968">
        <v>3.48</v>
      </c>
    </row>
    <row r="969" spans="1:16" x14ac:dyDescent="0.25">
      <c r="A969" s="181">
        <v>70510</v>
      </c>
      <c r="B969" s="181" t="s">
        <v>827</v>
      </c>
      <c r="C969">
        <v>70510</v>
      </c>
      <c r="D969" t="s">
        <v>827</v>
      </c>
      <c r="E969" t="s">
        <v>827</v>
      </c>
      <c r="F969" t="s">
        <v>1047</v>
      </c>
      <c r="G969" t="s">
        <v>1047</v>
      </c>
      <c r="H969">
        <v>1</v>
      </c>
      <c r="I969">
        <v>1</v>
      </c>
      <c r="J969" t="s">
        <v>1103</v>
      </c>
      <c r="O969" t="s">
        <v>29</v>
      </c>
      <c r="P969">
        <v>0.56000000000000005</v>
      </c>
    </row>
    <row r="970" spans="1:16" x14ac:dyDescent="0.25">
      <c r="A970" s="181">
        <v>70520</v>
      </c>
      <c r="B970" s="181" t="s">
        <v>1005</v>
      </c>
      <c r="C970">
        <v>70520</v>
      </c>
      <c r="D970" t="s">
        <v>1005</v>
      </c>
      <c r="E970" t="s">
        <v>1005</v>
      </c>
      <c r="F970" t="s">
        <v>1047</v>
      </c>
      <c r="G970" t="s">
        <v>1047</v>
      </c>
      <c r="H970">
        <v>1</v>
      </c>
      <c r="I970">
        <v>1</v>
      </c>
      <c r="J970" t="s">
        <v>1103</v>
      </c>
      <c r="O970" t="s">
        <v>29</v>
      </c>
      <c r="P970">
        <v>5.94</v>
      </c>
    </row>
    <row r="971" spans="1:16" x14ac:dyDescent="0.25">
      <c r="A971" s="181">
        <v>70530</v>
      </c>
      <c r="B971" s="181" t="s">
        <v>828</v>
      </c>
      <c r="C971">
        <v>70530</v>
      </c>
      <c r="D971" t="s">
        <v>828</v>
      </c>
      <c r="E971" t="s">
        <v>828</v>
      </c>
      <c r="F971" t="s">
        <v>1047</v>
      </c>
      <c r="G971" t="s">
        <v>1047</v>
      </c>
      <c r="H971">
        <v>1</v>
      </c>
      <c r="I971">
        <v>1</v>
      </c>
      <c r="J971" t="s">
        <v>1103</v>
      </c>
      <c r="O971" t="s">
        <v>29</v>
      </c>
      <c r="P971">
        <v>1.84</v>
      </c>
    </row>
    <row r="972" spans="1:16" x14ac:dyDescent="0.25">
      <c r="A972" s="181">
        <v>70540</v>
      </c>
      <c r="B972" s="181" t="s">
        <v>829</v>
      </c>
      <c r="C972">
        <v>70540</v>
      </c>
      <c r="D972" t="s">
        <v>829</v>
      </c>
      <c r="E972" t="s">
        <v>829</v>
      </c>
      <c r="F972" t="s">
        <v>1047</v>
      </c>
      <c r="G972" t="s">
        <v>1047</v>
      </c>
      <c r="H972">
        <v>1</v>
      </c>
      <c r="I972">
        <v>1</v>
      </c>
      <c r="J972" t="s">
        <v>1103</v>
      </c>
      <c r="O972" t="s">
        <v>29</v>
      </c>
      <c r="P972">
        <v>2.1</v>
      </c>
    </row>
    <row r="973" spans="1:16" x14ac:dyDescent="0.25">
      <c r="A973" s="181">
        <v>70550</v>
      </c>
      <c r="B973" s="181" t="s">
        <v>1006</v>
      </c>
      <c r="C973">
        <v>70550</v>
      </c>
      <c r="D973" t="s">
        <v>1134</v>
      </c>
      <c r="E973" t="s">
        <v>1134</v>
      </c>
      <c r="F973" t="s">
        <v>1047</v>
      </c>
      <c r="G973" t="s">
        <v>1047</v>
      </c>
      <c r="H973">
        <v>1</v>
      </c>
      <c r="I973">
        <v>1</v>
      </c>
      <c r="J973" t="s">
        <v>1103</v>
      </c>
      <c r="O973" t="s">
        <v>29</v>
      </c>
      <c r="P973">
        <v>2.58</v>
      </c>
    </row>
    <row r="974" spans="1:16" x14ac:dyDescent="0.25">
      <c r="A974" s="181">
        <v>70560</v>
      </c>
      <c r="B974" s="181" t="s">
        <v>1007</v>
      </c>
      <c r="C974">
        <v>70560</v>
      </c>
      <c r="D974" t="s">
        <v>1007</v>
      </c>
      <c r="E974" t="s">
        <v>1007</v>
      </c>
      <c r="F974" t="s">
        <v>1047</v>
      </c>
      <c r="G974" t="s">
        <v>1047</v>
      </c>
      <c r="H974">
        <v>1</v>
      </c>
      <c r="I974">
        <v>1</v>
      </c>
      <c r="J974" t="s">
        <v>1103</v>
      </c>
      <c r="O974" t="s">
        <v>29</v>
      </c>
      <c r="P974">
        <v>1.8</v>
      </c>
    </row>
    <row r="975" spans="1:16" x14ac:dyDescent="0.25">
      <c r="A975" s="181">
        <v>70570</v>
      </c>
      <c r="B975" s="181" t="s">
        <v>1008</v>
      </c>
      <c r="C975">
        <v>70570</v>
      </c>
      <c r="D975" t="s">
        <v>1008</v>
      </c>
      <c r="E975" t="s">
        <v>1008</v>
      </c>
      <c r="F975" t="s">
        <v>1047</v>
      </c>
      <c r="G975" t="s">
        <v>1047</v>
      </c>
      <c r="H975">
        <v>1</v>
      </c>
      <c r="I975">
        <v>1</v>
      </c>
      <c r="J975" t="s">
        <v>1103</v>
      </c>
      <c r="O975" t="s">
        <v>29</v>
      </c>
      <c r="P975">
        <v>11.91</v>
      </c>
    </row>
    <row r="976" spans="1:16" x14ac:dyDescent="0.25">
      <c r="A976" s="181">
        <v>70580</v>
      </c>
      <c r="B976" s="181" t="s">
        <v>830</v>
      </c>
      <c r="C976">
        <v>70580</v>
      </c>
      <c r="D976" t="s">
        <v>1129</v>
      </c>
      <c r="E976" t="s">
        <v>1129</v>
      </c>
      <c r="F976" t="s">
        <v>1047</v>
      </c>
      <c r="G976" t="s">
        <v>1047</v>
      </c>
      <c r="H976">
        <v>1</v>
      </c>
      <c r="I976">
        <v>1</v>
      </c>
      <c r="J976" t="s">
        <v>1103</v>
      </c>
      <c r="O976" t="s">
        <v>29</v>
      </c>
      <c r="P976">
        <v>0.88</v>
      </c>
    </row>
    <row r="977" spans="1:16" x14ac:dyDescent="0.25">
      <c r="A977" s="181">
        <v>70590</v>
      </c>
      <c r="B977" s="181" t="s">
        <v>831</v>
      </c>
      <c r="C977">
        <v>70590</v>
      </c>
      <c r="D977" t="s">
        <v>1128</v>
      </c>
      <c r="E977" t="s">
        <v>1128</v>
      </c>
      <c r="F977" t="s">
        <v>1047</v>
      </c>
      <c r="G977" t="s">
        <v>1047</v>
      </c>
      <c r="H977">
        <v>1</v>
      </c>
      <c r="I977">
        <v>1</v>
      </c>
      <c r="J977" t="s">
        <v>1103</v>
      </c>
      <c r="O977" t="s">
        <v>29</v>
      </c>
      <c r="P977">
        <v>4.01</v>
      </c>
    </row>
    <row r="978" spans="1:16" x14ac:dyDescent="0.25">
      <c r="A978" s="181">
        <v>70600</v>
      </c>
      <c r="B978" s="181" t="s">
        <v>832</v>
      </c>
      <c r="C978">
        <v>70600</v>
      </c>
      <c r="D978" t="s">
        <v>832</v>
      </c>
      <c r="E978" t="s">
        <v>832</v>
      </c>
      <c r="F978" t="s">
        <v>1047</v>
      </c>
      <c r="G978" t="s">
        <v>1047</v>
      </c>
      <c r="H978">
        <v>1</v>
      </c>
      <c r="I978">
        <v>1</v>
      </c>
      <c r="J978" t="s">
        <v>1103</v>
      </c>
      <c r="O978" t="s">
        <v>29</v>
      </c>
      <c r="P978">
        <v>8.5399999999999991</v>
      </c>
    </row>
    <row r="979" spans="1:16" x14ac:dyDescent="0.25">
      <c r="A979" s="181">
        <v>70610</v>
      </c>
      <c r="B979" s="181" t="s">
        <v>833</v>
      </c>
      <c r="C979">
        <v>70610</v>
      </c>
      <c r="D979" t="s">
        <v>1131</v>
      </c>
      <c r="E979" t="s">
        <v>1131</v>
      </c>
      <c r="F979" t="s">
        <v>1047</v>
      </c>
      <c r="G979" t="s">
        <v>1047</v>
      </c>
      <c r="H979">
        <v>1</v>
      </c>
      <c r="I979">
        <v>1</v>
      </c>
      <c r="J979" t="s">
        <v>1103</v>
      </c>
      <c r="O979" t="s">
        <v>29</v>
      </c>
      <c r="P979">
        <v>0</v>
      </c>
    </row>
    <row r="980" spans="1:16" x14ac:dyDescent="0.25">
      <c r="A980" s="181">
        <v>70690</v>
      </c>
      <c r="B980" s="181" t="s">
        <v>839</v>
      </c>
      <c r="C980">
        <v>70690</v>
      </c>
      <c r="D980" t="s">
        <v>1136</v>
      </c>
      <c r="E980" t="s">
        <v>1136</v>
      </c>
      <c r="F980" t="s">
        <v>1047</v>
      </c>
      <c r="G980" t="s">
        <v>1047</v>
      </c>
      <c r="H980">
        <v>1</v>
      </c>
      <c r="I980">
        <v>1</v>
      </c>
      <c r="J980" t="s">
        <v>1103</v>
      </c>
      <c r="O980" t="s">
        <v>29</v>
      </c>
      <c r="P980">
        <v>2</v>
      </c>
    </row>
    <row r="981" spans="1:16" x14ac:dyDescent="0.25">
      <c r="A981" s="181">
        <v>70691</v>
      </c>
      <c r="B981" s="181" t="s">
        <v>840</v>
      </c>
      <c r="C981">
        <v>70691</v>
      </c>
      <c r="D981" t="s">
        <v>840</v>
      </c>
      <c r="E981" t="s">
        <v>840</v>
      </c>
      <c r="F981" t="s">
        <v>1047</v>
      </c>
      <c r="G981" t="s">
        <v>1047</v>
      </c>
      <c r="H981">
        <v>1</v>
      </c>
      <c r="I981">
        <v>1</v>
      </c>
      <c r="J981" t="s">
        <v>1103</v>
      </c>
      <c r="O981" t="s">
        <v>29</v>
      </c>
      <c r="P981">
        <v>3.03</v>
      </c>
    </row>
    <row r="982" spans="1:16" x14ac:dyDescent="0.25">
      <c r="A982" s="181">
        <v>70615</v>
      </c>
      <c r="B982" s="181" t="s">
        <v>834</v>
      </c>
      <c r="C982">
        <v>70615</v>
      </c>
      <c r="D982" t="s">
        <v>834</v>
      </c>
      <c r="E982" t="s">
        <v>834</v>
      </c>
      <c r="F982" t="s">
        <v>1047</v>
      </c>
      <c r="G982" t="s">
        <v>1047</v>
      </c>
      <c r="H982">
        <v>1</v>
      </c>
      <c r="I982">
        <v>1</v>
      </c>
      <c r="J982" t="s">
        <v>1103</v>
      </c>
      <c r="O982" t="s">
        <v>29</v>
      </c>
      <c r="P982">
        <v>3.48</v>
      </c>
    </row>
    <row r="983" spans="1:16" x14ac:dyDescent="0.25">
      <c r="A983" s="181">
        <v>70715</v>
      </c>
      <c r="B983" s="181" t="s">
        <v>841</v>
      </c>
      <c r="C983">
        <v>70715</v>
      </c>
      <c r="D983" t="s">
        <v>841</v>
      </c>
      <c r="E983" t="s">
        <v>841</v>
      </c>
      <c r="F983" t="s">
        <v>1047</v>
      </c>
      <c r="G983" t="s">
        <v>1047</v>
      </c>
      <c r="H983">
        <v>1</v>
      </c>
      <c r="I983">
        <v>1</v>
      </c>
      <c r="J983" t="s">
        <v>1103</v>
      </c>
      <c r="O983" t="s">
        <v>29</v>
      </c>
      <c r="P983">
        <v>13.54</v>
      </c>
    </row>
    <row r="984" spans="1:16" x14ac:dyDescent="0.25">
      <c r="A984" s="181">
        <v>70720</v>
      </c>
      <c r="B984" s="181" t="s">
        <v>842</v>
      </c>
      <c r="C984">
        <v>70720</v>
      </c>
      <c r="D984" t="s">
        <v>1104</v>
      </c>
      <c r="E984" t="s">
        <v>1104</v>
      </c>
      <c r="F984" t="s">
        <v>1047</v>
      </c>
      <c r="G984" t="s">
        <v>1047</v>
      </c>
      <c r="H984">
        <v>1</v>
      </c>
      <c r="I984">
        <v>1</v>
      </c>
      <c r="J984" t="s">
        <v>1103</v>
      </c>
      <c r="O984" t="s">
        <v>29</v>
      </c>
      <c r="P984">
        <v>5.25</v>
      </c>
    </row>
    <row r="985" spans="1:16" x14ac:dyDescent="0.25">
      <c r="A985" s="181">
        <v>70620</v>
      </c>
      <c r="B985" s="181" t="s">
        <v>1009</v>
      </c>
      <c r="C985">
        <v>70620</v>
      </c>
      <c r="D985" t="s">
        <v>1009</v>
      </c>
      <c r="E985" t="s">
        <v>1009</v>
      </c>
      <c r="F985" t="s">
        <v>1047</v>
      </c>
      <c r="G985" t="s">
        <v>1047</v>
      </c>
      <c r="H985">
        <v>1</v>
      </c>
      <c r="I985">
        <v>1</v>
      </c>
      <c r="J985" t="s">
        <v>1103</v>
      </c>
      <c r="O985" t="s">
        <v>29</v>
      </c>
      <c r="P985">
        <v>0.08</v>
      </c>
    </row>
    <row r="986" spans="1:16" x14ac:dyDescent="0.25">
      <c r="A986" s="181">
        <v>70630</v>
      </c>
      <c r="B986" s="181" t="s">
        <v>1010</v>
      </c>
      <c r="C986">
        <v>70630</v>
      </c>
      <c r="D986" t="s">
        <v>1139</v>
      </c>
      <c r="E986" t="s">
        <v>1139</v>
      </c>
      <c r="F986" t="s">
        <v>1047</v>
      </c>
      <c r="G986" t="s">
        <v>1047</v>
      </c>
      <c r="H986">
        <v>1</v>
      </c>
      <c r="I986">
        <v>1</v>
      </c>
      <c r="J986" t="s">
        <v>1103</v>
      </c>
      <c r="O986" t="s">
        <v>29</v>
      </c>
      <c r="P986">
        <v>0.03</v>
      </c>
    </row>
    <row r="987" spans="1:16" x14ac:dyDescent="0.25">
      <c r="A987" s="181">
        <v>70640</v>
      </c>
      <c r="B987" s="181" t="s">
        <v>835</v>
      </c>
      <c r="C987">
        <v>70640</v>
      </c>
      <c r="D987" t="s">
        <v>835</v>
      </c>
      <c r="E987" t="s">
        <v>835</v>
      </c>
      <c r="F987" t="s">
        <v>1047</v>
      </c>
      <c r="G987" t="s">
        <v>1047</v>
      </c>
      <c r="H987">
        <v>1</v>
      </c>
      <c r="I987">
        <v>1</v>
      </c>
      <c r="J987" t="s">
        <v>1103</v>
      </c>
      <c r="O987" t="s">
        <v>29</v>
      </c>
      <c r="P987">
        <v>0.09</v>
      </c>
    </row>
    <row r="988" spans="1:16" x14ac:dyDescent="0.25">
      <c r="A988" s="181">
        <v>70650</v>
      </c>
      <c r="B988" s="181" t="s">
        <v>1011</v>
      </c>
      <c r="C988">
        <v>70650</v>
      </c>
      <c r="D988" t="s">
        <v>1102</v>
      </c>
      <c r="E988" t="s">
        <v>1102</v>
      </c>
      <c r="F988" t="s">
        <v>1047</v>
      </c>
      <c r="G988" t="s">
        <v>1047</v>
      </c>
      <c r="H988">
        <v>1</v>
      </c>
      <c r="I988">
        <v>1</v>
      </c>
      <c r="J988" t="s">
        <v>1103</v>
      </c>
      <c r="O988" t="s">
        <v>29</v>
      </c>
      <c r="P988">
        <v>114.4</v>
      </c>
    </row>
    <row r="989" spans="1:16" x14ac:dyDescent="0.25">
      <c r="A989" s="181">
        <v>70670</v>
      </c>
      <c r="B989" s="181" t="s">
        <v>836</v>
      </c>
      <c r="C989">
        <v>70670</v>
      </c>
      <c r="D989" t="s">
        <v>1140</v>
      </c>
      <c r="E989" t="s">
        <v>1140</v>
      </c>
      <c r="F989" t="s">
        <v>1047</v>
      </c>
      <c r="G989" t="s">
        <v>1047</v>
      </c>
      <c r="H989">
        <v>1</v>
      </c>
      <c r="I989">
        <v>1</v>
      </c>
      <c r="J989" t="s">
        <v>1103</v>
      </c>
      <c r="O989" t="s">
        <v>29</v>
      </c>
      <c r="P989">
        <v>21.24</v>
      </c>
    </row>
    <row r="990" spans="1:16" x14ac:dyDescent="0.25">
      <c r="A990" s="181">
        <v>70671</v>
      </c>
      <c r="B990" s="181" t="s">
        <v>1012</v>
      </c>
      <c r="C990">
        <v>70671</v>
      </c>
      <c r="D990" t="s">
        <v>1137</v>
      </c>
      <c r="E990" t="s">
        <v>1137</v>
      </c>
      <c r="F990" t="s">
        <v>1047</v>
      </c>
      <c r="G990" t="s">
        <v>1047</v>
      </c>
      <c r="H990">
        <v>1</v>
      </c>
      <c r="I990">
        <v>1</v>
      </c>
      <c r="J990" t="s">
        <v>1103</v>
      </c>
      <c r="O990" t="s">
        <v>29</v>
      </c>
      <c r="P990">
        <v>44.67</v>
      </c>
    </row>
    <row r="991" spans="1:16" x14ac:dyDescent="0.25">
      <c r="A991" s="181">
        <v>70672</v>
      </c>
      <c r="B991" s="181" t="s">
        <v>837</v>
      </c>
      <c r="C991">
        <v>70672</v>
      </c>
      <c r="D991" t="s">
        <v>837</v>
      </c>
      <c r="E991" t="s">
        <v>837</v>
      </c>
      <c r="F991" t="s">
        <v>1047</v>
      </c>
      <c r="G991" t="s">
        <v>1047</v>
      </c>
      <c r="H991">
        <v>1</v>
      </c>
      <c r="I991">
        <v>1</v>
      </c>
      <c r="J991" t="s">
        <v>1103</v>
      </c>
      <c r="O991" t="s">
        <v>29</v>
      </c>
      <c r="P991">
        <v>9.17</v>
      </c>
    </row>
    <row r="996" spans="3:16" x14ac:dyDescent="0.25">
      <c r="C996" t="s">
        <v>1366</v>
      </c>
      <c r="D996" t="s">
        <v>1365</v>
      </c>
      <c r="E996" t="s">
        <v>1365</v>
      </c>
      <c r="F996" t="s">
        <v>1047</v>
      </c>
      <c r="G996" t="s">
        <v>1047</v>
      </c>
      <c r="H996">
        <v>1</v>
      </c>
      <c r="I996">
        <v>1</v>
      </c>
      <c r="J996" t="s">
        <v>1301</v>
      </c>
      <c r="O996" t="s">
        <v>18</v>
      </c>
      <c r="P996">
        <v>40</v>
      </c>
    </row>
    <row r="997" spans="3:16" x14ac:dyDescent="0.25">
      <c r="C997" t="s">
        <v>1342</v>
      </c>
      <c r="D997" t="s">
        <v>1341</v>
      </c>
      <c r="E997" t="s">
        <v>1341</v>
      </c>
      <c r="F997" t="s">
        <v>175</v>
      </c>
      <c r="G997" t="s">
        <v>1047</v>
      </c>
      <c r="H997">
        <v>1</v>
      </c>
      <c r="I997">
        <v>1</v>
      </c>
      <c r="J997" t="s">
        <v>1301</v>
      </c>
      <c r="O997" t="s">
        <v>18</v>
      </c>
      <c r="P997">
        <v>400</v>
      </c>
    </row>
    <row r="998" spans="3:16" x14ac:dyDescent="0.25">
      <c r="C998" t="s">
        <v>1352</v>
      </c>
      <c r="D998" t="s">
        <v>1351</v>
      </c>
      <c r="E998" t="s">
        <v>1351</v>
      </c>
      <c r="F998" t="s">
        <v>1047</v>
      </c>
      <c r="G998" t="s">
        <v>1047</v>
      </c>
      <c r="H998">
        <v>1</v>
      </c>
      <c r="I998">
        <v>1</v>
      </c>
      <c r="J998" t="s">
        <v>1301</v>
      </c>
      <c r="O998" t="s">
        <v>18</v>
      </c>
      <c r="P998">
        <v>125</v>
      </c>
    </row>
    <row r="999" spans="3:16" x14ac:dyDescent="0.25">
      <c r="C999" t="s">
        <v>1354</v>
      </c>
      <c r="D999" t="s">
        <v>1353</v>
      </c>
      <c r="E999" t="s">
        <v>1353</v>
      </c>
      <c r="F999" t="s">
        <v>1047</v>
      </c>
      <c r="G999" t="s">
        <v>1047</v>
      </c>
      <c r="H999">
        <v>1</v>
      </c>
      <c r="I999">
        <v>1</v>
      </c>
      <c r="J999" t="s">
        <v>1301</v>
      </c>
      <c r="O999" t="s">
        <v>18</v>
      </c>
      <c r="P999">
        <v>75</v>
      </c>
    </row>
    <row r="1000" spans="3:16" x14ac:dyDescent="0.25">
      <c r="C1000" t="s">
        <v>1358</v>
      </c>
      <c r="D1000" t="s">
        <v>1357</v>
      </c>
      <c r="E1000" t="s">
        <v>1357</v>
      </c>
      <c r="F1000" t="s">
        <v>1047</v>
      </c>
      <c r="G1000" t="s">
        <v>1047</v>
      </c>
      <c r="H1000">
        <v>1</v>
      </c>
      <c r="I1000">
        <v>1</v>
      </c>
      <c r="J1000" t="s">
        <v>1301</v>
      </c>
      <c r="O1000" t="s">
        <v>18</v>
      </c>
      <c r="P1000">
        <v>20</v>
      </c>
    </row>
    <row r="1001" spans="3:16" x14ac:dyDescent="0.25">
      <c r="C1001" t="s">
        <v>1348</v>
      </c>
      <c r="D1001" t="s">
        <v>1347</v>
      </c>
      <c r="E1001" t="s">
        <v>1347</v>
      </c>
      <c r="F1001" t="s">
        <v>1047</v>
      </c>
      <c r="G1001" t="s">
        <v>1047</v>
      </c>
      <c r="H1001">
        <v>1</v>
      </c>
      <c r="I1001">
        <v>1</v>
      </c>
      <c r="J1001" t="s">
        <v>1301</v>
      </c>
      <c r="O1001" t="s">
        <v>18</v>
      </c>
      <c r="P1001">
        <v>20</v>
      </c>
    </row>
    <row r="1002" spans="3:16" x14ac:dyDescent="0.25">
      <c r="C1002" t="s">
        <v>1346</v>
      </c>
      <c r="D1002" t="s">
        <v>1345</v>
      </c>
      <c r="E1002" t="s">
        <v>1345</v>
      </c>
      <c r="F1002" t="s">
        <v>1047</v>
      </c>
      <c r="G1002" t="s">
        <v>1047</v>
      </c>
      <c r="H1002">
        <v>1</v>
      </c>
      <c r="I1002">
        <v>1</v>
      </c>
      <c r="J1002" t="s">
        <v>1301</v>
      </c>
      <c r="O1002" t="s">
        <v>18</v>
      </c>
      <c r="P1002">
        <v>15</v>
      </c>
    </row>
    <row r="1003" spans="3:16" x14ac:dyDescent="0.25">
      <c r="C1003" t="s">
        <v>1350</v>
      </c>
      <c r="D1003" t="s">
        <v>1349</v>
      </c>
      <c r="E1003" t="s">
        <v>1349</v>
      </c>
      <c r="F1003" t="s">
        <v>1047</v>
      </c>
      <c r="G1003" t="s">
        <v>1047</v>
      </c>
      <c r="H1003">
        <v>1</v>
      </c>
      <c r="I1003">
        <v>1</v>
      </c>
      <c r="J1003" t="s">
        <v>1301</v>
      </c>
      <c r="O1003" t="s">
        <v>18</v>
      </c>
      <c r="P1003">
        <v>25</v>
      </c>
    </row>
    <row r="1004" spans="3:16" x14ac:dyDescent="0.25">
      <c r="C1004" t="s">
        <v>1368</v>
      </c>
      <c r="D1004" t="s">
        <v>1367</v>
      </c>
      <c r="E1004" t="s">
        <v>1367</v>
      </c>
      <c r="F1004" t="s">
        <v>1047</v>
      </c>
      <c r="G1004" t="s">
        <v>1047</v>
      </c>
      <c r="H1004">
        <v>1</v>
      </c>
      <c r="I1004">
        <v>1</v>
      </c>
      <c r="J1004" t="s">
        <v>1301</v>
      </c>
      <c r="O1004" t="s">
        <v>18</v>
      </c>
      <c r="P1004">
        <v>10</v>
      </c>
    </row>
    <row r="1005" spans="3:16" x14ac:dyDescent="0.25">
      <c r="C1005" t="s">
        <v>1356</v>
      </c>
      <c r="D1005" t="s">
        <v>1355</v>
      </c>
      <c r="E1005" t="s">
        <v>1355</v>
      </c>
      <c r="F1005" t="s">
        <v>1047</v>
      </c>
      <c r="G1005" t="s">
        <v>1047</v>
      </c>
      <c r="H1005">
        <v>1</v>
      </c>
      <c r="I1005">
        <v>1</v>
      </c>
      <c r="J1005" t="s">
        <v>1301</v>
      </c>
      <c r="O1005" t="s">
        <v>18</v>
      </c>
      <c r="P1005">
        <v>35</v>
      </c>
    </row>
    <row r="1006" spans="3:16" x14ac:dyDescent="0.25">
      <c r="C1006" t="s">
        <v>1370</v>
      </c>
      <c r="D1006" t="s">
        <v>1369</v>
      </c>
      <c r="E1006" t="s">
        <v>1369</v>
      </c>
      <c r="F1006" t="s">
        <v>1047</v>
      </c>
      <c r="G1006" t="s">
        <v>1047</v>
      </c>
      <c r="H1006">
        <v>1</v>
      </c>
      <c r="I1006">
        <v>1</v>
      </c>
      <c r="J1006" t="s">
        <v>1301</v>
      </c>
      <c r="O1006" t="s">
        <v>18</v>
      </c>
      <c r="P1006">
        <v>15</v>
      </c>
    </row>
    <row r="1007" spans="3:16" x14ac:dyDescent="0.25">
      <c r="C1007" t="s">
        <v>1302</v>
      </c>
      <c r="D1007" t="s">
        <v>1300</v>
      </c>
      <c r="E1007" t="s">
        <v>1300</v>
      </c>
      <c r="F1007" t="s">
        <v>1047</v>
      </c>
      <c r="G1007" t="s">
        <v>1047</v>
      </c>
      <c r="H1007">
        <v>1</v>
      </c>
      <c r="I1007">
        <v>1</v>
      </c>
      <c r="J1007" t="s">
        <v>1301</v>
      </c>
      <c r="O1007" t="s">
        <v>18</v>
      </c>
      <c r="P1007">
        <v>34</v>
      </c>
    </row>
    <row r="1008" spans="3:16" x14ac:dyDescent="0.25">
      <c r="C1008" t="s">
        <v>1360</v>
      </c>
      <c r="D1008" t="s">
        <v>1359</v>
      </c>
      <c r="E1008" t="s">
        <v>1359</v>
      </c>
      <c r="F1008" t="s">
        <v>1047</v>
      </c>
      <c r="G1008" t="s">
        <v>1047</v>
      </c>
      <c r="H1008">
        <v>1</v>
      </c>
      <c r="I1008">
        <v>1</v>
      </c>
      <c r="J1008" t="s">
        <v>1301</v>
      </c>
      <c r="O1008" t="s">
        <v>18</v>
      </c>
      <c r="P1008">
        <v>30</v>
      </c>
    </row>
    <row r="1009" spans="3:16" x14ac:dyDescent="0.25">
      <c r="C1009" t="s">
        <v>1316</v>
      </c>
      <c r="D1009" t="s">
        <v>1315</v>
      </c>
      <c r="E1009" t="s">
        <v>1315</v>
      </c>
      <c r="F1009" t="s">
        <v>1047</v>
      </c>
      <c r="G1009" t="s">
        <v>1047</v>
      </c>
      <c r="H1009">
        <v>1</v>
      </c>
      <c r="I1009">
        <v>1</v>
      </c>
      <c r="J1009" t="s">
        <v>1301</v>
      </c>
      <c r="O1009" t="s">
        <v>18</v>
      </c>
      <c r="P1009">
        <v>15</v>
      </c>
    </row>
    <row r="1010" spans="3:16" x14ac:dyDescent="0.25">
      <c r="C1010" t="s">
        <v>1312</v>
      </c>
      <c r="D1010" t="s">
        <v>1311</v>
      </c>
      <c r="E1010" t="s">
        <v>1311</v>
      </c>
      <c r="F1010" t="s">
        <v>1047</v>
      </c>
      <c r="G1010" t="s">
        <v>1047</v>
      </c>
      <c r="H1010">
        <v>1</v>
      </c>
      <c r="I1010">
        <v>1</v>
      </c>
      <c r="J1010" t="s">
        <v>1301</v>
      </c>
      <c r="O1010" t="s">
        <v>18</v>
      </c>
      <c r="P1010">
        <v>55</v>
      </c>
    </row>
    <row r="1011" spans="3:16" x14ac:dyDescent="0.25">
      <c r="C1011" t="s">
        <v>1314</v>
      </c>
      <c r="D1011" t="s">
        <v>1313</v>
      </c>
      <c r="E1011" t="s">
        <v>1313</v>
      </c>
      <c r="F1011" t="s">
        <v>1047</v>
      </c>
      <c r="G1011" t="s">
        <v>1047</v>
      </c>
      <c r="H1011">
        <v>1</v>
      </c>
      <c r="I1011">
        <v>1</v>
      </c>
      <c r="J1011" t="s">
        <v>1301</v>
      </c>
      <c r="O1011" t="s">
        <v>18</v>
      </c>
      <c r="P1011">
        <v>8</v>
      </c>
    </row>
    <row r="1012" spans="3:16" x14ac:dyDescent="0.25">
      <c r="C1012" t="s">
        <v>1336</v>
      </c>
      <c r="D1012" t="s">
        <v>1335</v>
      </c>
      <c r="E1012" t="s">
        <v>1335</v>
      </c>
      <c r="F1012" t="s">
        <v>1047</v>
      </c>
      <c r="G1012" t="s">
        <v>1047</v>
      </c>
      <c r="H1012">
        <v>1</v>
      </c>
      <c r="I1012">
        <v>1</v>
      </c>
      <c r="J1012" t="s">
        <v>1301</v>
      </c>
      <c r="O1012" t="s">
        <v>18</v>
      </c>
      <c r="P1012">
        <v>8</v>
      </c>
    </row>
    <row r="1013" spans="3:16" x14ac:dyDescent="0.25">
      <c r="C1013" t="s">
        <v>1306</v>
      </c>
      <c r="D1013" t="s">
        <v>1305</v>
      </c>
      <c r="E1013" t="s">
        <v>1305</v>
      </c>
      <c r="F1013" t="s">
        <v>1047</v>
      </c>
      <c r="G1013" t="s">
        <v>1047</v>
      </c>
      <c r="H1013">
        <v>1</v>
      </c>
      <c r="I1013">
        <v>1</v>
      </c>
      <c r="J1013" t="s">
        <v>1301</v>
      </c>
      <c r="O1013" t="s">
        <v>18</v>
      </c>
      <c r="P1013">
        <v>30</v>
      </c>
    </row>
    <row r="1014" spans="3:16" x14ac:dyDescent="0.25">
      <c r="C1014" t="s">
        <v>1308</v>
      </c>
      <c r="D1014" t="s">
        <v>1307</v>
      </c>
      <c r="E1014" t="s">
        <v>1307</v>
      </c>
      <c r="F1014" t="s">
        <v>1047</v>
      </c>
      <c r="G1014" t="s">
        <v>1047</v>
      </c>
      <c r="H1014">
        <v>1</v>
      </c>
      <c r="I1014">
        <v>1</v>
      </c>
      <c r="J1014" t="s">
        <v>1301</v>
      </c>
      <c r="O1014" t="s">
        <v>18</v>
      </c>
      <c r="P1014">
        <v>32</v>
      </c>
    </row>
    <row r="1015" spans="3:16" x14ac:dyDescent="0.25">
      <c r="C1015" t="s">
        <v>1344</v>
      </c>
      <c r="D1015" t="s">
        <v>1343</v>
      </c>
      <c r="E1015" t="s">
        <v>1343</v>
      </c>
      <c r="F1015" t="s">
        <v>1047</v>
      </c>
      <c r="G1015" t="s">
        <v>1047</v>
      </c>
      <c r="H1015">
        <v>1</v>
      </c>
      <c r="I1015">
        <v>1</v>
      </c>
      <c r="J1015" t="s">
        <v>1301</v>
      </c>
      <c r="O1015" t="s">
        <v>18</v>
      </c>
      <c r="P1015">
        <v>30</v>
      </c>
    </row>
    <row r="1016" spans="3:16" x14ac:dyDescent="0.25">
      <c r="C1016" t="s">
        <v>1362</v>
      </c>
      <c r="D1016" t="s">
        <v>1361</v>
      </c>
      <c r="E1016" t="s">
        <v>1361</v>
      </c>
      <c r="F1016" t="s">
        <v>1047</v>
      </c>
      <c r="G1016" t="s">
        <v>1047</v>
      </c>
      <c r="H1016">
        <v>1</v>
      </c>
      <c r="I1016">
        <v>1</v>
      </c>
      <c r="J1016" t="s">
        <v>1301</v>
      </c>
      <c r="O1016" t="s">
        <v>18</v>
      </c>
      <c r="P1016">
        <v>20</v>
      </c>
    </row>
    <row r="1017" spans="3:16" x14ac:dyDescent="0.25">
      <c r="C1017" t="s">
        <v>1328</v>
      </c>
      <c r="D1017" t="s">
        <v>1327</v>
      </c>
      <c r="E1017" t="s">
        <v>1327</v>
      </c>
      <c r="F1017" t="s">
        <v>1047</v>
      </c>
      <c r="G1017" t="s">
        <v>1047</v>
      </c>
      <c r="H1017">
        <v>1</v>
      </c>
      <c r="I1017">
        <v>1</v>
      </c>
      <c r="J1017" t="s">
        <v>1301</v>
      </c>
      <c r="O1017" t="s">
        <v>18</v>
      </c>
      <c r="P1017">
        <v>15</v>
      </c>
    </row>
    <row r="1018" spans="3:16" x14ac:dyDescent="0.25">
      <c r="C1018" t="s">
        <v>1330</v>
      </c>
      <c r="D1018" t="s">
        <v>1329</v>
      </c>
      <c r="E1018" t="s">
        <v>1329</v>
      </c>
      <c r="F1018" t="s">
        <v>1047</v>
      </c>
      <c r="G1018" t="s">
        <v>1047</v>
      </c>
      <c r="H1018">
        <v>1</v>
      </c>
      <c r="I1018">
        <v>1</v>
      </c>
      <c r="J1018" t="s">
        <v>1301</v>
      </c>
      <c r="O1018" t="s">
        <v>18</v>
      </c>
      <c r="P1018">
        <v>55</v>
      </c>
    </row>
    <row r="1019" spans="3:16" x14ac:dyDescent="0.25">
      <c r="C1019" t="s">
        <v>1332</v>
      </c>
      <c r="D1019" t="s">
        <v>1331</v>
      </c>
      <c r="E1019" t="s">
        <v>1331</v>
      </c>
      <c r="F1019" t="s">
        <v>1047</v>
      </c>
      <c r="G1019" t="s">
        <v>1047</v>
      </c>
      <c r="H1019">
        <v>1</v>
      </c>
      <c r="I1019">
        <v>1</v>
      </c>
      <c r="J1019" t="s">
        <v>1301</v>
      </c>
      <c r="O1019" t="s">
        <v>18</v>
      </c>
      <c r="P1019">
        <v>65</v>
      </c>
    </row>
    <row r="1020" spans="3:16" x14ac:dyDescent="0.25">
      <c r="C1020" t="s">
        <v>1334</v>
      </c>
      <c r="D1020" t="s">
        <v>1333</v>
      </c>
      <c r="E1020" t="s">
        <v>1333</v>
      </c>
      <c r="F1020" t="s">
        <v>1047</v>
      </c>
      <c r="G1020" t="s">
        <v>1047</v>
      </c>
      <c r="H1020">
        <v>1</v>
      </c>
      <c r="I1020">
        <v>1</v>
      </c>
      <c r="J1020" t="s">
        <v>1301</v>
      </c>
      <c r="O1020" t="s">
        <v>18</v>
      </c>
      <c r="P1020">
        <v>110</v>
      </c>
    </row>
    <row r="1021" spans="3:16" x14ac:dyDescent="0.25">
      <c r="C1021" t="s">
        <v>1338</v>
      </c>
      <c r="D1021" t="s">
        <v>1337</v>
      </c>
      <c r="E1021" t="s">
        <v>1337</v>
      </c>
      <c r="F1021" t="s">
        <v>1047</v>
      </c>
      <c r="G1021" t="s">
        <v>1047</v>
      </c>
      <c r="H1021">
        <v>1</v>
      </c>
      <c r="I1021">
        <v>1</v>
      </c>
      <c r="J1021" t="s">
        <v>1301</v>
      </c>
      <c r="O1021" t="s">
        <v>18</v>
      </c>
      <c r="P1021">
        <v>40</v>
      </c>
    </row>
    <row r="1022" spans="3:16" x14ac:dyDescent="0.25">
      <c r="C1022" t="s">
        <v>1322</v>
      </c>
      <c r="D1022" t="s">
        <v>1321</v>
      </c>
      <c r="E1022" t="s">
        <v>1321</v>
      </c>
      <c r="F1022" t="s">
        <v>1047</v>
      </c>
      <c r="G1022" t="s">
        <v>1047</v>
      </c>
      <c r="H1022">
        <v>1</v>
      </c>
      <c r="I1022">
        <v>1</v>
      </c>
      <c r="J1022" t="s">
        <v>1301</v>
      </c>
      <c r="O1022" t="s">
        <v>18</v>
      </c>
      <c r="P1022">
        <v>65</v>
      </c>
    </row>
    <row r="1023" spans="3:16" x14ac:dyDescent="0.25">
      <c r="C1023" t="s">
        <v>1320</v>
      </c>
      <c r="D1023" t="s">
        <v>1319</v>
      </c>
      <c r="E1023" t="s">
        <v>1319</v>
      </c>
      <c r="F1023" t="s">
        <v>1047</v>
      </c>
      <c r="G1023" t="s">
        <v>1047</v>
      </c>
      <c r="H1023">
        <v>1</v>
      </c>
      <c r="I1023">
        <v>1</v>
      </c>
      <c r="J1023" t="s">
        <v>1301</v>
      </c>
      <c r="O1023" t="s">
        <v>18</v>
      </c>
      <c r="P1023">
        <v>75</v>
      </c>
    </row>
    <row r="1024" spans="3:16" x14ac:dyDescent="0.25">
      <c r="C1024" t="s">
        <v>1318</v>
      </c>
      <c r="D1024" t="s">
        <v>1317</v>
      </c>
      <c r="E1024" t="s">
        <v>1317</v>
      </c>
      <c r="F1024" t="s">
        <v>1047</v>
      </c>
      <c r="G1024" t="s">
        <v>1047</v>
      </c>
      <c r="H1024">
        <v>1</v>
      </c>
      <c r="I1024">
        <v>1</v>
      </c>
      <c r="J1024" t="s">
        <v>1301</v>
      </c>
      <c r="O1024" t="s">
        <v>18</v>
      </c>
      <c r="P1024">
        <v>110</v>
      </c>
    </row>
    <row r="1025" spans="3:16" x14ac:dyDescent="0.25">
      <c r="C1025" t="s">
        <v>1304</v>
      </c>
      <c r="D1025" t="s">
        <v>1303</v>
      </c>
      <c r="E1025" t="s">
        <v>1303</v>
      </c>
      <c r="F1025" t="s">
        <v>1047</v>
      </c>
      <c r="G1025" t="s">
        <v>1047</v>
      </c>
      <c r="H1025">
        <v>1</v>
      </c>
      <c r="I1025">
        <v>1</v>
      </c>
      <c r="J1025" t="s">
        <v>1301</v>
      </c>
      <c r="O1025" t="s">
        <v>18</v>
      </c>
      <c r="P1025">
        <v>65</v>
      </c>
    </row>
    <row r="1026" spans="3:16" x14ac:dyDescent="0.25">
      <c r="C1026" t="s">
        <v>1364</v>
      </c>
      <c r="D1026" t="s">
        <v>1363</v>
      </c>
      <c r="E1026" t="s">
        <v>1363</v>
      </c>
      <c r="F1026" t="s">
        <v>1047</v>
      </c>
      <c r="G1026" t="s">
        <v>1047</v>
      </c>
      <c r="H1026">
        <v>1</v>
      </c>
      <c r="I1026">
        <v>1</v>
      </c>
      <c r="J1026" t="s">
        <v>1301</v>
      </c>
      <c r="O1026" t="s">
        <v>18</v>
      </c>
      <c r="P1026">
        <v>184</v>
      </c>
    </row>
    <row r="1027" spans="3:16" x14ac:dyDescent="0.25">
      <c r="C1027" t="s">
        <v>1340</v>
      </c>
      <c r="D1027" t="s">
        <v>1339</v>
      </c>
      <c r="E1027" t="s">
        <v>1339</v>
      </c>
      <c r="F1027" t="s">
        <v>1047</v>
      </c>
      <c r="G1027" t="s">
        <v>1047</v>
      </c>
      <c r="H1027">
        <v>1</v>
      </c>
      <c r="I1027">
        <v>1</v>
      </c>
      <c r="J1027" t="s">
        <v>1301</v>
      </c>
      <c r="O1027" t="s">
        <v>18</v>
      </c>
      <c r="P1027">
        <v>25</v>
      </c>
    </row>
    <row r="1028" spans="3:16" x14ac:dyDescent="0.25">
      <c r="C1028" t="s">
        <v>1324</v>
      </c>
      <c r="D1028" t="s">
        <v>1323</v>
      </c>
      <c r="E1028" t="s">
        <v>1323</v>
      </c>
      <c r="F1028" t="s">
        <v>1047</v>
      </c>
      <c r="G1028" t="s">
        <v>1047</v>
      </c>
      <c r="H1028">
        <v>1</v>
      </c>
      <c r="I1028">
        <v>1</v>
      </c>
      <c r="J1028" t="s">
        <v>1301</v>
      </c>
      <c r="O1028" t="s">
        <v>18</v>
      </c>
      <c r="P1028">
        <v>25</v>
      </c>
    </row>
    <row r="1029" spans="3:16" x14ac:dyDescent="0.25">
      <c r="C1029" t="s">
        <v>1326</v>
      </c>
      <c r="D1029" t="s">
        <v>1325</v>
      </c>
      <c r="E1029" t="s">
        <v>1325</v>
      </c>
      <c r="F1029" t="s">
        <v>1047</v>
      </c>
      <c r="G1029" t="s">
        <v>1047</v>
      </c>
      <c r="H1029">
        <v>1</v>
      </c>
      <c r="I1029">
        <v>1</v>
      </c>
      <c r="J1029" t="s">
        <v>1301</v>
      </c>
      <c r="O1029" t="s">
        <v>18</v>
      </c>
      <c r="P1029">
        <v>25</v>
      </c>
    </row>
    <row r="1030" spans="3:16" x14ac:dyDescent="0.25">
      <c r="C1030" t="s">
        <v>1310</v>
      </c>
      <c r="D1030" t="s">
        <v>1309</v>
      </c>
      <c r="E1030" t="s">
        <v>1309</v>
      </c>
      <c r="F1030" t="s">
        <v>1047</v>
      </c>
      <c r="G1030" t="s">
        <v>1047</v>
      </c>
      <c r="H1030">
        <v>1</v>
      </c>
      <c r="I1030">
        <v>1</v>
      </c>
      <c r="J1030" t="s">
        <v>1301</v>
      </c>
      <c r="O1030" t="s">
        <v>18</v>
      </c>
      <c r="P1030">
        <v>50</v>
      </c>
    </row>
    <row r="1031" spans="3:16" x14ac:dyDescent="0.25">
      <c r="C1031" t="s">
        <v>1694</v>
      </c>
      <c r="D1031" t="s">
        <v>1693</v>
      </c>
      <c r="E1031" t="s">
        <v>1693</v>
      </c>
      <c r="F1031" t="s">
        <v>1047</v>
      </c>
      <c r="G1031" t="s">
        <v>1047</v>
      </c>
      <c r="H1031">
        <v>1</v>
      </c>
      <c r="I1031">
        <v>1</v>
      </c>
      <c r="J1031" t="s">
        <v>1641</v>
      </c>
      <c r="O1031" t="s">
        <v>18</v>
      </c>
      <c r="P1031">
        <v>5</v>
      </c>
    </row>
    <row r="1032" spans="3:16" x14ac:dyDescent="0.25">
      <c r="C1032" t="s">
        <v>1642</v>
      </c>
      <c r="D1032" t="s">
        <v>1640</v>
      </c>
      <c r="E1032" t="s">
        <v>1640</v>
      </c>
      <c r="F1032" t="s">
        <v>175</v>
      </c>
      <c r="G1032" t="s">
        <v>1047</v>
      </c>
      <c r="H1032">
        <v>1</v>
      </c>
      <c r="I1032">
        <v>1</v>
      </c>
      <c r="J1032" t="s">
        <v>1641</v>
      </c>
      <c r="O1032" t="s">
        <v>18</v>
      </c>
      <c r="P1032">
        <v>125</v>
      </c>
    </row>
    <row r="1033" spans="3:16" x14ac:dyDescent="0.25">
      <c r="C1033" t="s">
        <v>1688</v>
      </c>
      <c r="D1033" t="s">
        <v>1687</v>
      </c>
      <c r="E1033" t="s">
        <v>1687</v>
      </c>
      <c r="F1033" t="s">
        <v>1047</v>
      </c>
      <c r="G1033" t="s">
        <v>1047</v>
      </c>
      <c r="H1033">
        <v>1</v>
      </c>
      <c r="I1033">
        <v>1</v>
      </c>
      <c r="J1033" t="s">
        <v>1641</v>
      </c>
      <c r="O1033" t="s">
        <v>18</v>
      </c>
      <c r="P1033">
        <v>15</v>
      </c>
    </row>
    <row r="1034" spans="3:16" x14ac:dyDescent="0.25">
      <c r="C1034" t="s">
        <v>1702</v>
      </c>
      <c r="D1034" t="s">
        <v>1701</v>
      </c>
      <c r="E1034" t="s">
        <v>1701</v>
      </c>
      <c r="F1034" t="s">
        <v>1047</v>
      </c>
      <c r="G1034" t="s">
        <v>1047</v>
      </c>
      <c r="H1034">
        <v>1</v>
      </c>
      <c r="I1034">
        <v>1</v>
      </c>
      <c r="J1034" t="s">
        <v>1641</v>
      </c>
      <c r="O1034" t="s">
        <v>18</v>
      </c>
      <c r="P1034">
        <v>5</v>
      </c>
    </row>
    <row r="1035" spans="3:16" x14ac:dyDescent="0.25">
      <c r="C1035" t="s">
        <v>1690</v>
      </c>
      <c r="D1035" t="s">
        <v>1689</v>
      </c>
      <c r="E1035" t="s">
        <v>1689</v>
      </c>
      <c r="F1035" t="s">
        <v>1047</v>
      </c>
      <c r="G1035" t="s">
        <v>1047</v>
      </c>
      <c r="H1035">
        <v>1</v>
      </c>
      <c r="I1035">
        <v>1</v>
      </c>
      <c r="J1035" t="s">
        <v>1641</v>
      </c>
      <c r="O1035" t="s">
        <v>18</v>
      </c>
      <c r="P1035">
        <v>2</v>
      </c>
    </row>
    <row r="1036" spans="3:16" x14ac:dyDescent="0.25">
      <c r="C1036" t="s">
        <v>1686</v>
      </c>
      <c r="D1036" t="s">
        <v>1685</v>
      </c>
      <c r="E1036" t="s">
        <v>1685</v>
      </c>
      <c r="F1036" t="s">
        <v>1047</v>
      </c>
      <c r="G1036" t="s">
        <v>1047</v>
      </c>
      <c r="H1036">
        <v>1</v>
      </c>
      <c r="I1036">
        <v>1</v>
      </c>
      <c r="J1036" t="s">
        <v>1641</v>
      </c>
      <c r="O1036" t="s">
        <v>18</v>
      </c>
      <c r="P1036">
        <v>3.5</v>
      </c>
    </row>
    <row r="1037" spans="3:16" x14ac:dyDescent="0.25">
      <c r="C1037" t="s">
        <v>1676</v>
      </c>
      <c r="D1037" t="s">
        <v>1675</v>
      </c>
      <c r="E1037" t="s">
        <v>1675</v>
      </c>
      <c r="F1037" t="s">
        <v>1047</v>
      </c>
      <c r="G1037" t="s">
        <v>1047</v>
      </c>
      <c r="H1037">
        <v>1</v>
      </c>
      <c r="I1037">
        <v>1</v>
      </c>
      <c r="J1037" t="s">
        <v>1641</v>
      </c>
      <c r="O1037" t="s">
        <v>18</v>
      </c>
      <c r="P1037">
        <v>3.5</v>
      </c>
    </row>
    <row r="1038" spans="3:16" x14ac:dyDescent="0.25">
      <c r="C1038" t="s">
        <v>1704</v>
      </c>
      <c r="D1038" t="s">
        <v>1703</v>
      </c>
      <c r="E1038" t="s">
        <v>1703</v>
      </c>
      <c r="F1038" t="s">
        <v>1047</v>
      </c>
      <c r="G1038" t="s">
        <v>1047</v>
      </c>
      <c r="H1038">
        <v>1</v>
      </c>
      <c r="I1038">
        <v>1</v>
      </c>
      <c r="J1038" t="s">
        <v>1641</v>
      </c>
      <c r="O1038" t="s">
        <v>18</v>
      </c>
      <c r="P1038">
        <v>5</v>
      </c>
    </row>
    <row r="1039" spans="3:16" x14ac:dyDescent="0.25">
      <c r="C1039" t="s">
        <v>1644</v>
      </c>
      <c r="D1039" t="s">
        <v>1643</v>
      </c>
      <c r="E1039" t="s">
        <v>1643</v>
      </c>
      <c r="F1039" t="s">
        <v>1047</v>
      </c>
      <c r="G1039" t="s">
        <v>1047</v>
      </c>
      <c r="H1039">
        <v>1</v>
      </c>
      <c r="I1039">
        <v>1</v>
      </c>
      <c r="J1039" t="s">
        <v>1641</v>
      </c>
      <c r="O1039" t="s">
        <v>18</v>
      </c>
      <c r="P1039">
        <v>2.5</v>
      </c>
    </row>
    <row r="1040" spans="3:16" x14ac:dyDescent="0.25">
      <c r="C1040" t="s">
        <v>1656</v>
      </c>
      <c r="D1040" t="s">
        <v>1655</v>
      </c>
      <c r="E1040" t="s">
        <v>1655</v>
      </c>
      <c r="F1040" t="s">
        <v>1047</v>
      </c>
      <c r="G1040" t="s">
        <v>1047</v>
      </c>
      <c r="H1040">
        <v>1</v>
      </c>
      <c r="I1040">
        <v>1</v>
      </c>
      <c r="J1040" t="s">
        <v>1641</v>
      </c>
      <c r="O1040" t="s">
        <v>18</v>
      </c>
      <c r="P1040">
        <v>5</v>
      </c>
    </row>
    <row r="1041" spans="3:16" x14ac:dyDescent="0.25">
      <c r="C1041" t="s">
        <v>1658</v>
      </c>
      <c r="D1041" t="s">
        <v>1657</v>
      </c>
      <c r="E1041" t="s">
        <v>1657</v>
      </c>
      <c r="F1041" t="s">
        <v>1047</v>
      </c>
      <c r="G1041" t="s">
        <v>1047</v>
      </c>
      <c r="H1041">
        <v>1</v>
      </c>
      <c r="I1041">
        <v>1</v>
      </c>
      <c r="J1041" t="s">
        <v>1641</v>
      </c>
      <c r="O1041" t="s">
        <v>18</v>
      </c>
      <c r="P1041">
        <v>2</v>
      </c>
    </row>
    <row r="1042" spans="3:16" x14ac:dyDescent="0.25">
      <c r="C1042" t="s">
        <v>1654</v>
      </c>
      <c r="D1042" t="s">
        <v>1653</v>
      </c>
      <c r="E1042" t="s">
        <v>1653</v>
      </c>
      <c r="F1042" t="s">
        <v>1047</v>
      </c>
      <c r="G1042" t="s">
        <v>1047</v>
      </c>
      <c r="H1042">
        <v>1</v>
      </c>
      <c r="I1042">
        <v>1</v>
      </c>
      <c r="J1042" t="s">
        <v>1641</v>
      </c>
      <c r="O1042" t="s">
        <v>18</v>
      </c>
      <c r="P1042">
        <v>2</v>
      </c>
    </row>
    <row r="1043" spans="3:16" x14ac:dyDescent="0.25">
      <c r="C1043" t="s">
        <v>1650</v>
      </c>
      <c r="D1043" t="s">
        <v>1649</v>
      </c>
      <c r="E1043" t="s">
        <v>1649</v>
      </c>
      <c r="F1043" t="s">
        <v>1047</v>
      </c>
      <c r="G1043" t="s">
        <v>1047</v>
      </c>
      <c r="H1043">
        <v>1</v>
      </c>
      <c r="I1043">
        <v>1</v>
      </c>
      <c r="J1043" t="s">
        <v>1641</v>
      </c>
      <c r="O1043" t="s">
        <v>18</v>
      </c>
      <c r="P1043">
        <v>7</v>
      </c>
    </row>
    <row r="1044" spans="3:16" x14ac:dyDescent="0.25">
      <c r="C1044" t="s">
        <v>1648</v>
      </c>
      <c r="D1044" t="s">
        <v>1647</v>
      </c>
      <c r="E1044" t="s">
        <v>1647</v>
      </c>
      <c r="F1044" t="s">
        <v>1047</v>
      </c>
      <c r="G1044" t="s">
        <v>1047</v>
      </c>
      <c r="H1044">
        <v>1</v>
      </c>
      <c r="I1044">
        <v>1</v>
      </c>
      <c r="J1044" t="s">
        <v>1641</v>
      </c>
      <c r="O1044" t="s">
        <v>18</v>
      </c>
      <c r="P1044">
        <v>7</v>
      </c>
    </row>
    <row r="1045" spans="3:16" x14ac:dyDescent="0.25">
      <c r="C1045" t="s">
        <v>1700</v>
      </c>
      <c r="D1045" t="s">
        <v>1699</v>
      </c>
      <c r="E1045" t="s">
        <v>1699</v>
      </c>
      <c r="F1045" t="s">
        <v>1047</v>
      </c>
      <c r="G1045" t="s">
        <v>1047</v>
      </c>
      <c r="H1045">
        <v>1</v>
      </c>
      <c r="I1045">
        <v>1</v>
      </c>
      <c r="J1045" t="s">
        <v>1641</v>
      </c>
      <c r="O1045" t="s">
        <v>18</v>
      </c>
      <c r="P1045">
        <v>10</v>
      </c>
    </row>
    <row r="1046" spans="3:16" x14ac:dyDescent="0.25">
      <c r="C1046" t="s">
        <v>1692</v>
      </c>
      <c r="D1046" t="s">
        <v>1691</v>
      </c>
      <c r="E1046" t="s">
        <v>1691</v>
      </c>
      <c r="F1046" t="s">
        <v>1047</v>
      </c>
      <c r="G1046" t="s">
        <v>1047</v>
      </c>
      <c r="H1046">
        <v>1</v>
      </c>
      <c r="I1046">
        <v>1</v>
      </c>
      <c r="J1046" t="s">
        <v>1641</v>
      </c>
      <c r="O1046" t="s">
        <v>18</v>
      </c>
      <c r="P1046">
        <v>5</v>
      </c>
    </row>
    <row r="1047" spans="3:16" x14ac:dyDescent="0.25">
      <c r="C1047" t="s">
        <v>1674</v>
      </c>
      <c r="D1047" t="s">
        <v>1673</v>
      </c>
      <c r="E1047" t="s">
        <v>1673</v>
      </c>
      <c r="F1047" t="s">
        <v>1047</v>
      </c>
      <c r="G1047" t="s">
        <v>1047</v>
      </c>
      <c r="H1047">
        <v>1</v>
      </c>
      <c r="I1047">
        <v>1</v>
      </c>
      <c r="J1047" t="s">
        <v>1641</v>
      </c>
      <c r="O1047" t="s">
        <v>18</v>
      </c>
      <c r="P1047">
        <v>45</v>
      </c>
    </row>
    <row r="1048" spans="3:16" x14ac:dyDescent="0.25">
      <c r="C1048" t="s">
        <v>1672</v>
      </c>
      <c r="D1048" t="s">
        <v>1671</v>
      </c>
      <c r="E1048" t="s">
        <v>1671</v>
      </c>
      <c r="F1048" t="s">
        <v>1047</v>
      </c>
      <c r="G1048" t="s">
        <v>1047</v>
      </c>
      <c r="H1048">
        <v>1</v>
      </c>
      <c r="I1048">
        <v>1</v>
      </c>
      <c r="J1048" t="s">
        <v>1641</v>
      </c>
      <c r="O1048" t="s">
        <v>18</v>
      </c>
      <c r="P1048">
        <v>110</v>
      </c>
    </row>
    <row r="1049" spans="3:16" x14ac:dyDescent="0.25">
      <c r="C1049" t="s">
        <v>1680</v>
      </c>
      <c r="D1049" t="s">
        <v>1679</v>
      </c>
      <c r="E1049" t="s">
        <v>1679</v>
      </c>
      <c r="F1049" t="s">
        <v>1047</v>
      </c>
      <c r="G1049" t="s">
        <v>1047</v>
      </c>
      <c r="H1049">
        <v>1</v>
      </c>
      <c r="I1049">
        <v>1</v>
      </c>
      <c r="J1049" t="s">
        <v>1641</v>
      </c>
      <c r="O1049" t="s">
        <v>18</v>
      </c>
      <c r="P1049">
        <v>10</v>
      </c>
    </row>
    <row r="1050" spans="3:16" x14ac:dyDescent="0.25">
      <c r="C1050" t="s">
        <v>1666</v>
      </c>
      <c r="D1050" t="s">
        <v>1665</v>
      </c>
      <c r="E1050" t="s">
        <v>1665</v>
      </c>
      <c r="F1050" t="s">
        <v>1047</v>
      </c>
      <c r="G1050" t="s">
        <v>1047</v>
      </c>
      <c r="H1050">
        <v>1</v>
      </c>
      <c r="I1050">
        <v>1</v>
      </c>
      <c r="J1050" t="s">
        <v>1641</v>
      </c>
      <c r="O1050" t="s">
        <v>18</v>
      </c>
      <c r="P1050">
        <v>65</v>
      </c>
    </row>
    <row r="1051" spans="3:16" x14ac:dyDescent="0.25">
      <c r="C1051" t="s">
        <v>1664</v>
      </c>
      <c r="D1051" t="s">
        <v>1663</v>
      </c>
      <c r="E1051" t="s">
        <v>1663</v>
      </c>
      <c r="F1051" t="s">
        <v>1047</v>
      </c>
      <c r="G1051" t="s">
        <v>1047</v>
      </c>
      <c r="H1051">
        <v>1</v>
      </c>
      <c r="I1051">
        <v>1</v>
      </c>
      <c r="J1051" t="s">
        <v>1641</v>
      </c>
      <c r="O1051" t="s">
        <v>18</v>
      </c>
      <c r="P1051">
        <v>75</v>
      </c>
    </row>
    <row r="1052" spans="3:16" x14ac:dyDescent="0.25">
      <c r="C1052" t="s">
        <v>1668</v>
      </c>
      <c r="D1052" t="s">
        <v>1667</v>
      </c>
      <c r="E1052" t="s">
        <v>1667</v>
      </c>
      <c r="F1052" t="s">
        <v>1047</v>
      </c>
      <c r="G1052" t="s">
        <v>1047</v>
      </c>
      <c r="H1052">
        <v>1</v>
      </c>
      <c r="I1052">
        <v>1</v>
      </c>
      <c r="J1052" t="s">
        <v>1641</v>
      </c>
      <c r="O1052" t="s">
        <v>18</v>
      </c>
      <c r="P1052">
        <v>25</v>
      </c>
    </row>
    <row r="1053" spans="3:16" x14ac:dyDescent="0.25">
      <c r="C1053" t="s">
        <v>1682</v>
      </c>
      <c r="D1053" t="s">
        <v>1681</v>
      </c>
      <c r="E1053" t="s">
        <v>1681</v>
      </c>
      <c r="F1053" t="s">
        <v>1047</v>
      </c>
      <c r="G1053" t="s">
        <v>1047</v>
      </c>
      <c r="H1053">
        <v>1</v>
      </c>
      <c r="I1053">
        <v>1</v>
      </c>
      <c r="J1053" t="s">
        <v>1641</v>
      </c>
      <c r="O1053" t="s">
        <v>18</v>
      </c>
      <c r="P1053">
        <v>25</v>
      </c>
    </row>
    <row r="1054" spans="3:16" x14ac:dyDescent="0.25">
      <c r="C1054" t="s">
        <v>1660</v>
      </c>
      <c r="D1054" t="s">
        <v>1659</v>
      </c>
      <c r="E1054" t="s">
        <v>1659</v>
      </c>
      <c r="F1054" t="s">
        <v>1047</v>
      </c>
      <c r="G1054" t="s">
        <v>1047</v>
      </c>
      <c r="H1054">
        <v>1</v>
      </c>
      <c r="I1054">
        <v>1</v>
      </c>
      <c r="J1054" t="s">
        <v>1641</v>
      </c>
      <c r="O1054" t="s">
        <v>18</v>
      </c>
      <c r="P1054">
        <v>20</v>
      </c>
    </row>
    <row r="1055" spans="3:16" x14ac:dyDescent="0.25">
      <c r="C1055" t="s">
        <v>1646</v>
      </c>
      <c r="D1055" t="s">
        <v>1645</v>
      </c>
      <c r="E1055" t="s">
        <v>1645</v>
      </c>
      <c r="F1055" t="s">
        <v>1047</v>
      </c>
      <c r="G1055" t="s">
        <v>1047</v>
      </c>
      <c r="H1055">
        <v>1</v>
      </c>
      <c r="I1055">
        <v>1</v>
      </c>
      <c r="J1055" t="s">
        <v>1641</v>
      </c>
      <c r="O1055" t="s">
        <v>18</v>
      </c>
      <c r="P1055">
        <v>25</v>
      </c>
    </row>
    <row r="1056" spans="3:16" x14ac:dyDescent="0.25">
      <c r="C1056" t="s">
        <v>1696</v>
      </c>
      <c r="D1056" t="s">
        <v>1695</v>
      </c>
      <c r="E1056" t="s">
        <v>1695</v>
      </c>
      <c r="F1056" t="s">
        <v>1047</v>
      </c>
      <c r="G1056" t="s">
        <v>1047</v>
      </c>
      <c r="H1056">
        <v>1</v>
      </c>
      <c r="I1056">
        <v>1</v>
      </c>
      <c r="J1056" t="s">
        <v>1641</v>
      </c>
      <c r="O1056" t="s">
        <v>18</v>
      </c>
      <c r="P1056">
        <v>20</v>
      </c>
    </row>
    <row r="1057" spans="3:16" x14ac:dyDescent="0.25">
      <c r="C1057" t="s">
        <v>1662</v>
      </c>
      <c r="D1057" t="s">
        <v>1661</v>
      </c>
      <c r="E1057" t="s">
        <v>1661</v>
      </c>
      <c r="F1057" t="s">
        <v>1047</v>
      </c>
      <c r="G1057" t="s">
        <v>1047</v>
      </c>
      <c r="H1057">
        <v>1</v>
      </c>
      <c r="I1057">
        <v>1</v>
      </c>
      <c r="J1057" t="s">
        <v>1641</v>
      </c>
      <c r="O1057" t="s">
        <v>18</v>
      </c>
      <c r="P1057">
        <v>50</v>
      </c>
    </row>
    <row r="1058" spans="3:16" x14ac:dyDescent="0.25">
      <c r="C1058" t="s">
        <v>1678</v>
      </c>
      <c r="D1058" t="s">
        <v>1677</v>
      </c>
      <c r="E1058" t="s">
        <v>1677</v>
      </c>
      <c r="F1058" t="s">
        <v>1047</v>
      </c>
      <c r="G1058" t="s">
        <v>1047</v>
      </c>
      <c r="H1058">
        <v>1</v>
      </c>
      <c r="I1058">
        <v>1</v>
      </c>
      <c r="J1058" t="s">
        <v>1641</v>
      </c>
      <c r="O1058" t="s">
        <v>18</v>
      </c>
      <c r="P1058">
        <v>40</v>
      </c>
    </row>
    <row r="1059" spans="3:16" x14ac:dyDescent="0.25">
      <c r="C1059" t="s">
        <v>1684</v>
      </c>
      <c r="D1059" t="s">
        <v>1683</v>
      </c>
      <c r="E1059" t="s">
        <v>1683</v>
      </c>
      <c r="F1059" t="s">
        <v>1047</v>
      </c>
      <c r="G1059" t="s">
        <v>1047</v>
      </c>
      <c r="H1059">
        <v>1</v>
      </c>
      <c r="I1059">
        <v>1</v>
      </c>
      <c r="J1059" t="s">
        <v>1641</v>
      </c>
      <c r="O1059" t="s">
        <v>18</v>
      </c>
      <c r="P1059">
        <v>50</v>
      </c>
    </row>
    <row r="1060" spans="3:16" x14ac:dyDescent="0.25">
      <c r="C1060" t="s">
        <v>1698</v>
      </c>
      <c r="D1060" t="s">
        <v>1697</v>
      </c>
      <c r="E1060" t="s">
        <v>1697</v>
      </c>
      <c r="F1060" t="s">
        <v>1047</v>
      </c>
      <c r="G1060" t="s">
        <v>1047</v>
      </c>
      <c r="H1060">
        <v>1</v>
      </c>
      <c r="I1060">
        <v>1</v>
      </c>
      <c r="J1060" t="s">
        <v>1641</v>
      </c>
      <c r="O1060" t="s">
        <v>18</v>
      </c>
      <c r="P1060">
        <v>25</v>
      </c>
    </row>
    <row r="1061" spans="3:16" x14ac:dyDescent="0.25">
      <c r="C1061" t="s">
        <v>1670</v>
      </c>
      <c r="D1061" t="s">
        <v>1669</v>
      </c>
      <c r="E1061" t="s">
        <v>1669</v>
      </c>
      <c r="F1061" t="s">
        <v>1047</v>
      </c>
      <c r="G1061" t="s">
        <v>1047</v>
      </c>
      <c r="H1061">
        <v>1</v>
      </c>
      <c r="I1061">
        <v>1</v>
      </c>
      <c r="J1061" t="s">
        <v>1641</v>
      </c>
      <c r="O1061" t="s">
        <v>18</v>
      </c>
      <c r="P1061">
        <v>75</v>
      </c>
    </row>
    <row r="1062" spans="3:16" x14ac:dyDescent="0.25">
      <c r="C1062" t="s">
        <v>1652</v>
      </c>
      <c r="D1062" t="s">
        <v>1651</v>
      </c>
      <c r="E1062" t="s">
        <v>1651</v>
      </c>
      <c r="F1062" t="s">
        <v>1047</v>
      </c>
      <c r="G1062" t="s">
        <v>1047</v>
      </c>
      <c r="H1062">
        <v>1</v>
      </c>
      <c r="I1062">
        <v>1</v>
      </c>
      <c r="J1062" t="s">
        <v>1641</v>
      </c>
      <c r="O1062" t="s">
        <v>18</v>
      </c>
      <c r="P1062">
        <v>25</v>
      </c>
    </row>
    <row r="1063" spans="3:16" x14ac:dyDescent="0.25">
      <c r="C1063" t="s">
        <v>1097</v>
      </c>
      <c r="D1063" t="s">
        <v>1096</v>
      </c>
      <c r="E1063" t="s">
        <v>1096</v>
      </c>
      <c r="F1063" t="s">
        <v>1047</v>
      </c>
      <c r="G1063" t="s">
        <v>1047</v>
      </c>
      <c r="H1063">
        <v>1</v>
      </c>
      <c r="I1063">
        <v>1</v>
      </c>
      <c r="J1063" t="s">
        <v>1070</v>
      </c>
      <c r="O1063" t="s">
        <v>18</v>
      </c>
      <c r="P1063">
        <v>5</v>
      </c>
    </row>
    <row r="1064" spans="3:16" x14ac:dyDescent="0.25">
      <c r="C1064" t="s">
        <v>1091</v>
      </c>
      <c r="D1064" t="s">
        <v>1090</v>
      </c>
      <c r="E1064" t="s">
        <v>1090</v>
      </c>
      <c r="F1064" t="s">
        <v>1047</v>
      </c>
      <c r="G1064" t="s">
        <v>1047</v>
      </c>
      <c r="H1064">
        <v>1</v>
      </c>
      <c r="I1064">
        <v>1</v>
      </c>
      <c r="J1064" t="s">
        <v>1070</v>
      </c>
      <c r="O1064" t="s">
        <v>18</v>
      </c>
      <c r="P1064">
        <v>65</v>
      </c>
    </row>
    <row r="1065" spans="3:16" x14ac:dyDescent="0.25">
      <c r="C1065" t="s">
        <v>1095</v>
      </c>
      <c r="D1065" t="s">
        <v>1094</v>
      </c>
      <c r="E1065" t="s">
        <v>1094</v>
      </c>
      <c r="F1065" t="s">
        <v>1047</v>
      </c>
      <c r="G1065" t="s">
        <v>1047</v>
      </c>
      <c r="H1065">
        <v>1</v>
      </c>
      <c r="I1065">
        <v>1</v>
      </c>
      <c r="J1065" t="s">
        <v>1070</v>
      </c>
      <c r="O1065" t="s">
        <v>18</v>
      </c>
      <c r="P1065">
        <v>40</v>
      </c>
    </row>
    <row r="1066" spans="3:16" x14ac:dyDescent="0.25">
      <c r="C1066" t="s">
        <v>1093</v>
      </c>
      <c r="D1066" t="s">
        <v>1092</v>
      </c>
      <c r="E1066" t="s">
        <v>1092</v>
      </c>
      <c r="F1066" t="s">
        <v>1047</v>
      </c>
      <c r="G1066" t="s">
        <v>1047</v>
      </c>
      <c r="H1066">
        <v>1</v>
      </c>
      <c r="I1066">
        <v>1</v>
      </c>
      <c r="J1066" t="s">
        <v>1070</v>
      </c>
      <c r="O1066" t="s">
        <v>18</v>
      </c>
      <c r="P1066">
        <v>60</v>
      </c>
    </row>
    <row r="1067" spans="3:16" x14ac:dyDescent="0.25">
      <c r="C1067" t="s">
        <v>1101</v>
      </c>
      <c r="D1067" t="s">
        <v>1100</v>
      </c>
      <c r="E1067" t="s">
        <v>1100</v>
      </c>
      <c r="F1067" t="s">
        <v>1047</v>
      </c>
      <c r="G1067" t="s">
        <v>1047</v>
      </c>
      <c r="H1067">
        <v>1</v>
      </c>
      <c r="I1067">
        <v>1</v>
      </c>
      <c r="J1067" t="s">
        <v>1070</v>
      </c>
      <c r="O1067" t="s">
        <v>18</v>
      </c>
      <c r="P1067">
        <v>30</v>
      </c>
    </row>
    <row r="1068" spans="3:16" x14ac:dyDescent="0.25">
      <c r="C1068" t="s">
        <v>1099</v>
      </c>
      <c r="D1068" t="s">
        <v>1098</v>
      </c>
      <c r="E1068" t="s">
        <v>1098</v>
      </c>
      <c r="F1068" t="s">
        <v>1047</v>
      </c>
      <c r="G1068" t="s">
        <v>1047</v>
      </c>
      <c r="H1068">
        <v>1</v>
      </c>
      <c r="I1068">
        <v>1</v>
      </c>
      <c r="J1068" t="s">
        <v>1070</v>
      </c>
      <c r="O1068" t="s">
        <v>18</v>
      </c>
      <c r="P1068">
        <v>30</v>
      </c>
    </row>
    <row r="1069" spans="3:16" x14ac:dyDescent="0.25">
      <c r="C1069" t="s">
        <v>1087</v>
      </c>
      <c r="D1069" t="s">
        <v>1086</v>
      </c>
      <c r="E1069" t="s">
        <v>1086</v>
      </c>
      <c r="F1069" t="s">
        <v>1047</v>
      </c>
      <c r="G1069" t="s">
        <v>1047</v>
      </c>
      <c r="H1069">
        <v>1</v>
      </c>
      <c r="I1069">
        <v>1</v>
      </c>
      <c r="J1069" t="s">
        <v>1070</v>
      </c>
      <c r="O1069" t="s">
        <v>18</v>
      </c>
      <c r="P1069">
        <v>50</v>
      </c>
    </row>
    <row r="1070" spans="3:16" x14ac:dyDescent="0.25">
      <c r="C1070" t="s">
        <v>1089</v>
      </c>
      <c r="D1070" t="s">
        <v>1088</v>
      </c>
      <c r="E1070" t="s">
        <v>1088</v>
      </c>
      <c r="F1070" t="s">
        <v>1047</v>
      </c>
      <c r="G1070" t="s">
        <v>1047</v>
      </c>
      <c r="H1070">
        <v>1</v>
      </c>
      <c r="I1070">
        <v>1</v>
      </c>
      <c r="J1070" t="s">
        <v>1070</v>
      </c>
      <c r="O1070" t="s">
        <v>18</v>
      </c>
      <c r="P1070">
        <v>15</v>
      </c>
    </row>
    <row r="1071" spans="3:16" x14ac:dyDescent="0.25">
      <c r="C1071" t="s">
        <v>1073</v>
      </c>
      <c r="D1071" t="s">
        <v>1072</v>
      </c>
      <c r="E1071" t="s">
        <v>1072</v>
      </c>
      <c r="F1071" t="s">
        <v>1047</v>
      </c>
      <c r="G1071" t="s">
        <v>1047</v>
      </c>
      <c r="H1071">
        <v>1</v>
      </c>
      <c r="I1071">
        <v>1</v>
      </c>
      <c r="J1071" t="s">
        <v>1070</v>
      </c>
      <c r="O1071" t="s">
        <v>18</v>
      </c>
      <c r="P1071">
        <v>30</v>
      </c>
    </row>
    <row r="1072" spans="3:16" x14ac:dyDescent="0.25">
      <c r="C1072" t="s">
        <v>1085</v>
      </c>
      <c r="D1072" t="s">
        <v>1084</v>
      </c>
      <c r="E1072" t="s">
        <v>1084</v>
      </c>
      <c r="F1072" t="s">
        <v>1047</v>
      </c>
      <c r="G1072" t="s">
        <v>1047</v>
      </c>
      <c r="H1072">
        <v>1</v>
      </c>
      <c r="I1072">
        <v>1</v>
      </c>
      <c r="J1072" t="s">
        <v>1070</v>
      </c>
      <c r="O1072" t="s">
        <v>18</v>
      </c>
      <c r="P1072">
        <v>30</v>
      </c>
    </row>
    <row r="1073" spans="3:16" x14ac:dyDescent="0.25">
      <c r="C1073" t="s">
        <v>1077</v>
      </c>
      <c r="D1073" t="s">
        <v>1076</v>
      </c>
      <c r="E1073" t="s">
        <v>1076</v>
      </c>
      <c r="F1073" t="s">
        <v>1047</v>
      </c>
      <c r="G1073" t="s">
        <v>1047</v>
      </c>
      <c r="H1073">
        <v>1</v>
      </c>
      <c r="I1073">
        <v>1</v>
      </c>
      <c r="J1073" t="s">
        <v>1070</v>
      </c>
      <c r="O1073" t="s">
        <v>18</v>
      </c>
      <c r="P1073">
        <v>50</v>
      </c>
    </row>
    <row r="1074" spans="3:16" x14ac:dyDescent="0.25">
      <c r="C1074" t="s">
        <v>1081</v>
      </c>
      <c r="D1074" t="s">
        <v>1080</v>
      </c>
      <c r="E1074" t="s">
        <v>1080</v>
      </c>
      <c r="F1074" t="s">
        <v>1047</v>
      </c>
      <c r="G1074" t="s">
        <v>1047</v>
      </c>
      <c r="H1074">
        <v>1</v>
      </c>
      <c r="I1074">
        <v>1</v>
      </c>
      <c r="J1074" t="s">
        <v>1070</v>
      </c>
      <c r="O1074" t="s">
        <v>18</v>
      </c>
      <c r="P1074">
        <v>25</v>
      </c>
    </row>
    <row r="1075" spans="3:16" x14ac:dyDescent="0.25">
      <c r="C1075" t="s">
        <v>1083</v>
      </c>
      <c r="D1075" t="s">
        <v>1082</v>
      </c>
      <c r="E1075" t="s">
        <v>1082</v>
      </c>
      <c r="F1075" t="s">
        <v>1047</v>
      </c>
      <c r="G1075" t="s">
        <v>1047</v>
      </c>
      <c r="H1075">
        <v>1</v>
      </c>
      <c r="I1075">
        <v>1</v>
      </c>
      <c r="J1075" t="s">
        <v>1070</v>
      </c>
      <c r="O1075" t="s">
        <v>18</v>
      </c>
      <c r="P1075">
        <v>50</v>
      </c>
    </row>
    <row r="1076" spans="3:16" x14ac:dyDescent="0.25">
      <c r="C1076" t="s">
        <v>1079</v>
      </c>
      <c r="D1076" t="s">
        <v>1078</v>
      </c>
      <c r="E1076" t="s">
        <v>1078</v>
      </c>
      <c r="F1076" t="s">
        <v>1047</v>
      </c>
      <c r="G1076" t="s">
        <v>1047</v>
      </c>
      <c r="H1076">
        <v>1</v>
      </c>
      <c r="I1076">
        <v>1</v>
      </c>
      <c r="J1076" t="s">
        <v>1070</v>
      </c>
      <c r="O1076" t="s">
        <v>18</v>
      </c>
      <c r="P1076">
        <v>100</v>
      </c>
    </row>
    <row r="1077" spans="3:16" x14ac:dyDescent="0.25">
      <c r="C1077" t="s">
        <v>1071</v>
      </c>
      <c r="D1077" t="s">
        <v>1069</v>
      </c>
      <c r="E1077" t="s">
        <v>1069</v>
      </c>
      <c r="F1077" t="s">
        <v>1047</v>
      </c>
      <c r="G1077" t="s">
        <v>1047</v>
      </c>
      <c r="H1077">
        <v>1</v>
      </c>
      <c r="I1077">
        <v>1</v>
      </c>
      <c r="J1077" t="s">
        <v>1070</v>
      </c>
      <c r="O1077" t="s">
        <v>18</v>
      </c>
      <c r="P1077">
        <v>30</v>
      </c>
    </row>
    <row r="1078" spans="3:16" x14ac:dyDescent="0.25">
      <c r="C1078" t="s">
        <v>1075</v>
      </c>
      <c r="D1078" t="s">
        <v>1074</v>
      </c>
      <c r="E1078" t="s">
        <v>1074</v>
      </c>
      <c r="F1078" t="s">
        <v>1047</v>
      </c>
      <c r="G1078" t="s">
        <v>1047</v>
      </c>
      <c r="H1078">
        <v>1</v>
      </c>
      <c r="I1078">
        <v>1</v>
      </c>
      <c r="J1078" t="s">
        <v>1070</v>
      </c>
      <c r="O1078" t="s">
        <v>18</v>
      </c>
      <c r="P1078">
        <v>25</v>
      </c>
    </row>
    <row r="1079" spans="3:16" x14ac:dyDescent="0.25">
      <c r="C1079" t="s">
        <v>1063</v>
      </c>
      <c r="D1079" t="s">
        <v>1062</v>
      </c>
      <c r="E1079" t="s">
        <v>1062</v>
      </c>
      <c r="F1079" t="s">
        <v>1047</v>
      </c>
      <c r="G1079" t="s">
        <v>1047</v>
      </c>
      <c r="H1079">
        <v>1</v>
      </c>
      <c r="I1079">
        <v>1</v>
      </c>
      <c r="J1079" t="s">
        <v>1062</v>
      </c>
      <c r="O1079" t="s">
        <v>18</v>
      </c>
      <c r="P1079">
        <v>96</v>
      </c>
    </row>
    <row r="1080" spans="3:16" x14ac:dyDescent="0.25">
      <c r="C1080" t="s">
        <v>1061</v>
      </c>
      <c r="D1080" t="s">
        <v>1059</v>
      </c>
      <c r="E1080" t="s">
        <v>1059</v>
      </c>
      <c r="F1080" t="s">
        <v>1047</v>
      </c>
      <c r="G1080" t="s">
        <v>1047</v>
      </c>
      <c r="H1080">
        <v>1</v>
      </c>
      <c r="I1080">
        <v>1</v>
      </c>
      <c r="J1080" t="s">
        <v>1060</v>
      </c>
      <c r="O1080" t="s">
        <v>18</v>
      </c>
      <c r="P1080">
        <v>150</v>
      </c>
    </row>
    <row r="1081" spans="3:16" x14ac:dyDescent="0.25">
      <c r="C1081" t="s">
        <v>1145</v>
      </c>
      <c r="D1081" t="s">
        <v>1144</v>
      </c>
      <c r="E1081" t="s">
        <v>1144</v>
      </c>
      <c r="F1081" t="s">
        <v>1047</v>
      </c>
      <c r="G1081" t="s">
        <v>1047</v>
      </c>
      <c r="H1081">
        <v>1</v>
      </c>
      <c r="I1081">
        <v>1</v>
      </c>
      <c r="J1081" t="s">
        <v>1144</v>
      </c>
      <c r="O1081" t="s">
        <v>18</v>
      </c>
      <c r="P1081">
        <v>50</v>
      </c>
    </row>
    <row r="1082" spans="3:16" x14ac:dyDescent="0.25">
      <c r="C1082" t="s">
        <v>1143</v>
      </c>
      <c r="D1082" t="s">
        <v>1142</v>
      </c>
      <c r="E1082" t="s">
        <v>1142</v>
      </c>
      <c r="F1082" t="s">
        <v>1047</v>
      </c>
      <c r="G1082" t="s">
        <v>1047</v>
      </c>
      <c r="H1082">
        <v>1</v>
      </c>
      <c r="I1082">
        <v>1</v>
      </c>
      <c r="J1082" t="s">
        <v>1142</v>
      </c>
      <c r="O1082" t="s">
        <v>18</v>
      </c>
      <c r="P1082">
        <v>32</v>
      </c>
    </row>
    <row r="1083" spans="3:16" x14ac:dyDescent="0.25">
      <c r="C1083" t="s">
        <v>1742</v>
      </c>
      <c r="D1083" t="s">
        <v>1741</v>
      </c>
      <c r="E1083" t="s">
        <v>1741</v>
      </c>
      <c r="F1083" t="s">
        <v>1047</v>
      </c>
      <c r="G1083" t="s">
        <v>1047</v>
      </c>
      <c r="H1083">
        <v>1</v>
      </c>
      <c r="I1083">
        <v>1</v>
      </c>
      <c r="J1083" t="s">
        <v>1741</v>
      </c>
      <c r="O1083" t="s">
        <v>18</v>
      </c>
      <c r="P1083">
        <v>125</v>
      </c>
    </row>
    <row r="1084" spans="3:16" x14ac:dyDescent="0.25">
      <c r="C1084" t="s">
        <v>1299</v>
      </c>
      <c r="D1084" t="s">
        <v>1298</v>
      </c>
      <c r="E1084" t="s">
        <v>1298</v>
      </c>
      <c r="F1084" t="s">
        <v>1047</v>
      </c>
      <c r="G1084" t="s">
        <v>1047</v>
      </c>
      <c r="H1084">
        <v>1</v>
      </c>
      <c r="I1084">
        <v>1</v>
      </c>
      <c r="J1084" t="s">
        <v>1298</v>
      </c>
      <c r="O1084" t="s">
        <v>18</v>
      </c>
      <c r="P1084">
        <v>50</v>
      </c>
    </row>
    <row r="1085" spans="3:16" x14ac:dyDescent="0.25">
      <c r="C1085" t="s">
        <v>1639</v>
      </c>
      <c r="D1085" t="s">
        <v>1638</v>
      </c>
      <c r="E1085" t="s">
        <v>1638</v>
      </c>
      <c r="F1085" t="s">
        <v>1047</v>
      </c>
      <c r="G1085" t="s">
        <v>1047</v>
      </c>
      <c r="H1085">
        <v>1</v>
      </c>
      <c r="I1085">
        <v>1</v>
      </c>
      <c r="J1085" t="s">
        <v>1638</v>
      </c>
      <c r="O1085" t="s">
        <v>18</v>
      </c>
      <c r="P1085">
        <v>25</v>
      </c>
    </row>
    <row r="1086" spans="3:16" x14ac:dyDescent="0.25">
      <c r="C1086" t="s">
        <v>1068</v>
      </c>
      <c r="D1086" t="s">
        <v>1067</v>
      </c>
      <c r="E1086" t="s">
        <v>1067</v>
      </c>
      <c r="F1086" t="s">
        <v>1047</v>
      </c>
      <c r="G1086" t="s">
        <v>1047</v>
      </c>
      <c r="H1086">
        <v>1</v>
      </c>
      <c r="I1086">
        <v>1</v>
      </c>
      <c r="J1086" t="s">
        <v>1067</v>
      </c>
      <c r="O1086" t="s">
        <v>18</v>
      </c>
      <c r="P1086">
        <v>25</v>
      </c>
    </row>
    <row r="1087" spans="3:16" x14ac:dyDescent="0.25">
      <c r="C1087" t="s">
        <v>1053</v>
      </c>
      <c r="D1087" t="s">
        <v>1052</v>
      </c>
      <c r="E1087" t="s">
        <v>1052</v>
      </c>
      <c r="F1087" t="s">
        <v>1047</v>
      </c>
      <c r="G1087" t="s">
        <v>1047</v>
      </c>
      <c r="H1087">
        <v>1</v>
      </c>
      <c r="I1087">
        <v>1</v>
      </c>
      <c r="J1087" t="s">
        <v>1048</v>
      </c>
      <c r="O1087" t="s">
        <v>29</v>
      </c>
      <c r="P1087">
        <v>0</v>
      </c>
    </row>
    <row r="1088" spans="3:16" x14ac:dyDescent="0.25">
      <c r="C1088" t="s">
        <v>1055</v>
      </c>
      <c r="D1088" t="s">
        <v>1054</v>
      </c>
      <c r="E1088" t="s">
        <v>1054</v>
      </c>
      <c r="F1088" t="s">
        <v>1047</v>
      </c>
      <c r="G1088" t="s">
        <v>1047</v>
      </c>
      <c r="H1088">
        <v>1</v>
      </c>
      <c r="I1088">
        <v>1</v>
      </c>
      <c r="J1088" t="s">
        <v>1048</v>
      </c>
      <c r="O1088" t="s">
        <v>29</v>
      </c>
      <c r="P1088">
        <v>0</v>
      </c>
    </row>
    <row r="1089" spans="3:16" x14ac:dyDescent="0.25">
      <c r="C1089" t="s">
        <v>1049</v>
      </c>
      <c r="D1089" t="s">
        <v>1046</v>
      </c>
      <c r="E1089" t="s">
        <v>1046</v>
      </c>
      <c r="F1089" t="s">
        <v>1047</v>
      </c>
      <c r="G1089" t="s">
        <v>1047</v>
      </c>
      <c r="H1089">
        <v>1</v>
      </c>
      <c r="I1089">
        <v>1</v>
      </c>
      <c r="J1089" t="s">
        <v>1048</v>
      </c>
      <c r="O1089" t="s">
        <v>29</v>
      </c>
      <c r="P1089">
        <v>0</v>
      </c>
    </row>
    <row r="1090" spans="3:16" x14ac:dyDescent="0.25">
      <c r="C1090" t="s">
        <v>1056</v>
      </c>
      <c r="D1090" t="s">
        <v>36</v>
      </c>
      <c r="E1090" t="s">
        <v>36</v>
      </c>
      <c r="F1090" t="s">
        <v>1047</v>
      </c>
      <c r="G1090" t="s">
        <v>1047</v>
      </c>
      <c r="H1090">
        <v>1</v>
      </c>
      <c r="I1090">
        <v>1</v>
      </c>
      <c r="J1090" t="s">
        <v>1048</v>
      </c>
      <c r="O1090" t="s">
        <v>29</v>
      </c>
      <c r="P1090">
        <v>0</v>
      </c>
    </row>
    <row r="1091" spans="3:16" x14ac:dyDescent="0.25">
      <c r="C1091" t="s">
        <v>1050</v>
      </c>
      <c r="D1091" t="s">
        <v>38</v>
      </c>
      <c r="E1091" t="s">
        <v>38</v>
      </c>
      <c r="F1091" t="s">
        <v>1047</v>
      </c>
      <c r="G1091" t="s">
        <v>1047</v>
      </c>
      <c r="H1091">
        <v>1</v>
      </c>
      <c r="I1091">
        <v>1</v>
      </c>
      <c r="J1091" t="s">
        <v>1048</v>
      </c>
      <c r="O1091" t="s">
        <v>29</v>
      </c>
      <c r="P1091">
        <v>0</v>
      </c>
    </row>
    <row r="1092" spans="3:16" x14ac:dyDescent="0.25">
      <c r="C1092" t="s">
        <v>1051</v>
      </c>
      <c r="D1092" t="s">
        <v>33</v>
      </c>
      <c r="E1092" t="s">
        <v>33</v>
      </c>
      <c r="F1092" t="s">
        <v>1047</v>
      </c>
      <c r="G1092" t="s">
        <v>1047</v>
      </c>
      <c r="H1092">
        <v>1</v>
      </c>
      <c r="I1092">
        <v>1</v>
      </c>
      <c r="J1092" t="s">
        <v>1048</v>
      </c>
      <c r="O1092" t="s">
        <v>29</v>
      </c>
      <c r="P1092">
        <v>0</v>
      </c>
    </row>
    <row r="1093" spans="3:16" x14ac:dyDescent="0.25">
      <c r="C1093" t="s">
        <v>1057</v>
      </c>
      <c r="D1093" t="s">
        <v>32</v>
      </c>
      <c r="E1093" t="s">
        <v>32</v>
      </c>
      <c r="F1093" t="s">
        <v>1047</v>
      </c>
      <c r="G1093" t="s">
        <v>1047</v>
      </c>
      <c r="H1093">
        <v>1</v>
      </c>
      <c r="I1093">
        <v>1</v>
      </c>
      <c r="J1093" t="s">
        <v>1048</v>
      </c>
      <c r="O1093" t="s">
        <v>29</v>
      </c>
      <c r="P1093">
        <v>0</v>
      </c>
    </row>
    <row r="1094" spans="3:16" x14ac:dyDescent="0.25">
      <c r="C1094" t="s">
        <v>1058</v>
      </c>
      <c r="D1094" t="s">
        <v>34</v>
      </c>
      <c r="E1094" t="s">
        <v>34</v>
      </c>
      <c r="F1094" t="s">
        <v>1047</v>
      </c>
      <c r="G1094" t="s">
        <v>1047</v>
      </c>
      <c r="H1094">
        <v>1</v>
      </c>
      <c r="I1094">
        <v>1</v>
      </c>
      <c r="J1094" t="s">
        <v>1048</v>
      </c>
      <c r="O1094" t="s">
        <v>29</v>
      </c>
      <c r="P1094">
        <v>0</v>
      </c>
    </row>
  </sheetData>
  <phoneticPr fontId="1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81CE-4E48-4601-9AD0-C92ECAF82541}">
  <dimension ref="A1:H676"/>
  <sheetViews>
    <sheetView topLeftCell="A19" workbookViewId="0">
      <selection activeCell="F92" sqref="A1:F92"/>
    </sheetView>
  </sheetViews>
  <sheetFormatPr defaultRowHeight="15" x14ac:dyDescent="0.25"/>
  <cols>
    <col min="1" max="1" width="8.85546875" style="59"/>
    <col min="2" max="2" width="37" style="59" customWidth="1"/>
    <col min="3" max="3" width="8.85546875" style="142"/>
    <col min="5" max="6" width="8.85546875" style="142"/>
    <col min="7" max="7" width="11.5703125" bestFit="1" customWidth="1"/>
    <col min="8" max="8" width="12.5703125" bestFit="1" customWidth="1"/>
  </cols>
  <sheetData>
    <row r="1" spans="1:6" s="221" customFormat="1" x14ac:dyDescent="0.25">
      <c r="A1" s="226">
        <v>17200</v>
      </c>
      <c r="B1" s="226" t="s">
        <v>1786</v>
      </c>
      <c r="C1" s="229">
        <v>1</v>
      </c>
      <c r="D1" s="241">
        <v>45.44</v>
      </c>
      <c r="E1" s="226" t="s">
        <v>1047</v>
      </c>
      <c r="F1" s="234">
        <f t="shared" ref="F1:F64" si="0">C1*D1</f>
        <v>45.44</v>
      </c>
    </row>
    <row r="2" spans="1:6" s="221" customFormat="1" x14ac:dyDescent="0.25">
      <c r="A2" s="226">
        <v>17220</v>
      </c>
      <c r="B2" s="226" t="s">
        <v>1787</v>
      </c>
      <c r="C2" s="229">
        <v>1</v>
      </c>
      <c r="D2" s="241">
        <v>4.2</v>
      </c>
      <c r="E2" s="226" t="s">
        <v>1047</v>
      </c>
      <c r="F2" s="234">
        <f t="shared" si="0"/>
        <v>4.2</v>
      </c>
    </row>
    <row r="3" spans="1:6" s="221" customFormat="1" x14ac:dyDescent="0.25">
      <c r="A3" s="222">
        <v>17610</v>
      </c>
      <c r="B3" s="230" t="s">
        <v>605</v>
      </c>
      <c r="C3" s="228">
        <v>1</v>
      </c>
      <c r="D3" s="241">
        <v>36.380000000000003</v>
      </c>
      <c r="E3" s="226" t="s">
        <v>1047</v>
      </c>
      <c r="F3" s="234">
        <f t="shared" si="0"/>
        <v>36.380000000000003</v>
      </c>
    </row>
    <row r="4" spans="1:6" s="221" customFormat="1" x14ac:dyDescent="0.25">
      <c r="A4" s="230">
        <v>17660</v>
      </c>
      <c r="B4" s="230" t="s">
        <v>369</v>
      </c>
      <c r="C4" s="228">
        <v>1</v>
      </c>
      <c r="D4" s="241">
        <v>65.540000000000006</v>
      </c>
      <c r="E4" s="226" t="s">
        <v>1047</v>
      </c>
      <c r="F4" s="234">
        <f t="shared" si="0"/>
        <v>65.540000000000006</v>
      </c>
    </row>
    <row r="5" spans="1:6" s="221" customFormat="1" x14ac:dyDescent="0.25">
      <c r="A5" s="226">
        <v>18610</v>
      </c>
      <c r="B5" s="237" t="s">
        <v>365</v>
      </c>
      <c r="C5" s="228">
        <v>2</v>
      </c>
      <c r="D5" s="241">
        <v>3.16</v>
      </c>
      <c r="E5" s="226" t="s">
        <v>1047</v>
      </c>
      <c r="F5" s="234">
        <f t="shared" si="0"/>
        <v>6.32</v>
      </c>
    </row>
    <row r="6" spans="1:6" s="221" customFormat="1" x14ac:dyDescent="0.25">
      <c r="A6" s="226">
        <v>20000</v>
      </c>
      <c r="B6" s="230" t="s">
        <v>320</v>
      </c>
      <c r="C6" s="228">
        <v>7</v>
      </c>
      <c r="D6" s="226">
        <v>3.55</v>
      </c>
      <c r="E6" s="226" t="s">
        <v>1047</v>
      </c>
      <c r="F6" s="234">
        <f t="shared" si="0"/>
        <v>24.849999999999998</v>
      </c>
    </row>
    <row r="7" spans="1:6" s="221" customFormat="1" x14ac:dyDescent="0.25">
      <c r="A7" s="230">
        <v>20010</v>
      </c>
      <c r="B7" s="230" t="s">
        <v>321</v>
      </c>
      <c r="C7" s="228">
        <v>10</v>
      </c>
      <c r="D7" s="226">
        <v>3.17</v>
      </c>
      <c r="E7" s="226" t="s">
        <v>1047</v>
      </c>
      <c r="F7" s="234">
        <f t="shared" si="0"/>
        <v>31.7</v>
      </c>
    </row>
    <row r="8" spans="1:6" s="221" customFormat="1" x14ac:dyDescent="0.25">
      <c r="A8" s="230">
        <v>20020</v>
      </c>
      <c r="B8" s="230" t="s">
        <v>322</v>
      </c>
      <c r="C8" s="229">
        <v>6</v>
      </c>
      <c r="D8" s="226">
        <v>4.04</v>
      </c>
      <c r="E8" s="226" t="s">
        <v>1047</v>
      </c>
      <c r="F8" s="234">
        <f t="shared" si="0"/>
        <v>24.240000000000002</v>
      </c>
    </row>
    <row r="9" spans="1:6" s="221" customFormat="1" x14ac:dyDescent="0.25">
      <c r="A9" s="230">
        <v>20060</v>
      </c>
      <c r="B9" s="230" t="s">
        <v>325</v>
      </c>
      <c r="C9" s="228">
        <v>1</v>
      </c>
      <c r="D9" s="226">
        <v>4.16</v>
      </c>
      <c r="E9" s="226" t="s">
        <v>1047</v>
      </c>
      <c r="F9" s="234">
        <f t="shared" si="0"/>
        <v>4.16</v>
      </c>
    </row>
    <row r="10" spans="1:6" s="221" customFormat="1" x14ac:dyDescent="0.25">
      <c r="A10" s="230">
        <v>20070</v>
      </c>
      <c r="B10" s="230" t="s">
        <v>326</v>
      </c>
      <c r="C10" s="228">
        <v>3</v>
      </c>
      <c r="D10" s="226">
        <v>3.17</v>
      </c>
      <c r="E10" s="226" t="s">
        <v>1047</v>
      </c>
      <c r="F10" s="234">
        <f t="shared" si="0"/>
        <v>9.51</v>
      </c>
    </row>
    <row r="11" spans="1:6" s="221" customFormat="1" x14ac:dyDescent="0.25">
      <c r="A11" s="230">
        <v>20080</v>
      </c>
      <c r="B11" s="230" t="s">
        <v>327</v>
      </c>
      <c r="C11" s="228">
        <v>2</v>
      </c>
      <c r="D11" s="226">
        <v>4.43</v>
      </c>
      <c r="E11" s="226" t="s">
        <v>1047</v>
      </c>
      <c r="F11" s="234">
        <f t="shared" si="0"/>
        <v>8.86</v>
      </c>
    </row>
    <row r="12" spans="1:6" s="221" customFormat="1" x14ac:dyDescent="0.25">
      <c r="A12" s="230">
        <v>20090</v>
      </c>
      <c r="B12" s="230" t="s">
        <v>328</v>
      </c>
      <c r="C12" s="228">
        <v>1</v>
      </c>
      <c r="D12" s="226">
        <v>7.12</v>
      </c>
      <c r="E12" s="226" t="s">
        <v>1047</v>
      </c>
      <c r="F12" s="234">
        <f t="shared" si="0"/>
        <v>7.12</v>
      </c>
    </row>
    <row r="13" spans="1:6" s="221" customFormat="1" x14ac:dyDescent="0.25">
      <c r="A13" s="230">
        <v>20100</v>
      </c>
      <c r="B13" s="230" t="s">
        <v>329</v>
      </c>
      <c r="C13" s="228">
        <v>1</v>
      </c>
      <c r="D13" s="226">
        <v>5.51</v>
      </c>
      <c r="E13" s="226" t="s">
        <v>1047</v>
      </c>
      <c r="F13" s="234">
        <f t="shared" si="0"/>
        <v>5.51</v>
      </c>
    </row>
    <row r="14" spans="1:6" s="221" customFormat="1" x14ac:dyDescent="0.25">
      <c r="A14" s="230">
        <v>20120</v>
      </c>
      <c r="B14" s="230" t="s">
        <v>330</v>
      </c>
      <c r="C14" s="228">
        <v>1</v>
      </c>
      <c r="D14" s="226">
        <v>4.7</v>
      </c>
      <c r="E14" s="226" t="s">
        <v>1047</v>
      </c>
      <c r="F14" s="234">
        <f t="shared" si="0"/>
        <v>4.7</v>
      </c>
    </row>
    <row r="15" spans="1:6" s="221" customFormat="1" x14ac:dyDescent="0.25">
      <c r="A15" s="230">
        <v>20130</v>
      </c>
      <c r="B15" s="230" t="s">
        <v>331</v>
      </c>
      <c r="C15" s="228">
        <v>2</v>
      </c>
      <c r="D15" s="226">
        <v>4.25</v>
      </c>
      <c r="E15" s="226" t="s">
        <v>1047</v>
      </c>
      <c r="F15" s="234">
        <f t="shared" si="0"/>
        <v>8.5</v>
      </c>
    </row>
    <row r="16" spans="1:6" s="221" customFormat="1" x14ac:dyDescent="0.25">
      <c r="A16" s="230">
        <v>20140</v>
      </c>
      <c r="B16" s="230" t="s">
        <v>332</v>
      </c>
      <c r="C16" s="228">
        <v>2</v>
      </c>
      <c r="D16" s="226">
        <v>5.45</v>
      </c>
      <c r="E16" s="226" t="s">
        <v>1047</v>
      </c>
      <c r="F16" s="234">
        <f t="shared" si="0"/>
        <v>10.9</v>
      </c>
    </row>
    <row r="17" spans="1:6" s="221" customFormat="1" x14ac:dyDescent="0.25">
      <c r="A17" s="230">
        <v>20150</v>
      </c>
      <c r="B17" s="230" t="s">
        <v>333</v>
      </c>
      <c r="C17" s="228">
        <v>1</v>
      </c>
      <c r="D17" s="226">
        <v>7.12</v>
      </c>
      <c r="E17" s="226" t="s">
        <v>1047</v>
      </c>
      <c r="F17" s="234">
        <f t="shared" si="0"/>
        <v>7.12</v>
      </c>
    </row>
    <row r="18" spans="1:6" s="221" customFormat="1" x14ac:dyDescent="0.25">
      <c r="A18" s="230">
        <v>20160</v>
      </c>
      <c r="B18" s="230" t="s">
        <v>334</v>
      </c>
      <c r="C18" s="228">
        <v>1</v>
      </c>
      <c r="D18" s="226">
        <v>7.21</v>
      </c>
      <c r="E18" s="226" t="s">
        <v>1047</v>
      </c>
      <c r="F18" s="234">
        <f t="shared" si="0"/>
        <v>7.21</v>
      </c>
    </row>
    <row r="19" spans="1:6" s="221" customFormat="1" x14ac:dyDescent="0.25">
      <c r="A19" s="230">
        <v>20180</v>
      </c>
      <c r="B19" s="230" t="s">
        <v>335</v>
      </c>
      <c r="C19" s="228">
        <v>15</v>
      </c>
      <c r="D19" s="226">
        <v>3.4</v>
      </c>
      <c r="E19" s="226" t="s">
        <v>1047</v>
      </c>
      <c r="F19" s="234">
        <f t="shared" si="0"/>
        <v>51</v>
      </c>
    </row>
    <row r="20" spans="1:6" s="221" customFormat="1" x14ac:dyDescent="0.25">
      <c r="A20" s="230">
        <v>20200</v>
      </c>
      <c r="B20" s="230" t="s">
        <v>336</v>
      </c>
      <c r="C20" s="228">
        <v>4</v>
      </c>
      <c r="D20" s="226">
        <v>3.4</v>
      </c>
      <c r="E20" s="226" t="s">
        <v>1047</v>
      </c>
      <c r="F20" s="234">
        <f t="shared" si="0"/>
        <v>13.6</v>
      </c>
    </row>
    <row r="21" spans="1:6" s="221" customFormat="1" x14ac:dyDescent="0.25">
      <c r="A21" s="230">
        <v>20280</v>
      </c>
      <c r="B21" s="230" t="s">
        <v>611</v>
      </c>
      <c r="C21" s="228">
        <v>4</v>
      </c>
      <c r="D21" s="241">
        <v>1.7</v>
      </c>
      <c r="E21" s="226" t="s">
        <v>1047</v>
      </c>
      <c r="F21" s="234">
        <f t="shared" si="0"/>
        <v>6.8</v>
      </c>
    </row>
    <row r="22" spans="1:6" s="221" customFormat="1" x14ac:dyDescent="0.25">
      <c r="A22" s="230">
        <v>20300</v>
      </c>
      <c r="B22" s="230" t="s">
        <v>612</v>
      </c>
      <c r="C22" s="228">
        <v>2</v>
      </c>
      <c r="D22" s="241">
        <v>2.19</v>
      </c>
      <c r="E22" s="226" t="s">
        <v>1047</v>
      </c>
      <c r="F22" s="234">
        <f t="shared" si="0"/>
        <v>4.38</v>
      </c>
    </row>
    <row r="23" spans="1:6" s="221" customFormat="1" x14ac:dyDescent="0.25">
      <c r="A23" s="230">
        <v>20310</v>
      </c>
      <c r="B23" s="230" t="s">
        <v>873</v>
      </c>
      <c r="C23" s="228">
        <v>1</v>
      </c>
      <c r="D23" s="241">
        <v>3.55</v>
      </c>
      <c r="E23" s="226" t="s">
        <v>1047</v>
      </c>
      <c r="F23" s="234">
        <f t="shared" si="0"/>
        <v>3.55</v>
      </c>
    </row>
    <row r="24" spans="1:6" s="221" customFormat="1" x14ac:dyDescent="0.25">
      <c r="A24" s="230">
        <v>20330</v>
      </c>
      <c r="B24" s="230" t="s">
        <v>875</v>
      </c>
      <c r="C24" s="228">
        <v>1</v>
      </c>
      <c r="D24" s="241">
        <v>3.77</v>
      </c>
      <c r="E24" s="226" t="s">
        <v>1047</v>
      </c>
      <c r="F24" s="234">
        <f t="shared" si="0"/>
        <v>3.77</v>
      </c>
    </row>
    <row r="25" spans="1:6" s="221" customFormat="1" x14ac:dyDescent="0.25">
      <c r="A25" s="230">
        <v>20360</v>
      </c>
      <c r="B25" s="230" t="s">
        <v>613</v>
      </c>
      <c r="C25" s="228">
        <v>9</v>
      </c>
      <c r="D25" s="226">
        <v>1.23</v>
      </c>
      <c r="E25" s="226" t="s">
        <v>1047</v>
      </c>
      <c r="F25" s="234">
        <f t="shared" si="0"/>
        <v>11.07</v>
      </c>
    </row>
    <row r="26" spans="1:6" s="221" customFormat="1" x14ac:dyDescent="0.25">
      <c r="A26" s="230">
        <v>20370</v>
      </c>
      <c r="B26" s="230" t="s">
        <v>614</v>
      </c>
      <c r="C26" s="228">
        <v>13</v>
      </c>
      <c r="D26" s="226">
        <v>1.45</v>
      </c>
      <c r="E26" s="226" t="s">
        <v>1047</v>
      </c>
      <c r="F26" s="234">
        <f t="shared" si="0"/>
        <v>18.849999999999998</v>
      </c>
    </row>
    <row r="27" spans="1:6" s="221" customFormat="1" x14ac:dyDescent="0.25">
      <c r="A27" s="230">
        <v>20380</v>
      </c>
      <c r="B27" s="230" t="s">
        <v>615</v>
      </c>
      <c r="C27" s="228">
        <v>10</v>
      </c>
      <c r="D27" s="226">
        <v>1.71</v>
      </c>
      <c r="E27" s="226" t="s">
        <v>1047</v>
      </c>
      <c r="F27" s="234">
        <f t="shared" si="0"/>
        <v>17.100000000000001</v>
      </c>
    </row>
    <row r="28" spans="1:6" s="221" customFormat="1" x14ac:dyDescent="0.25">
      <c r="A28" s="230">
        <v>20390</v>
      </c>
      <c r="B28" s="230" t="s">
        <v>616</v>
      </c>
      <c r="C28" s="228">
        <v>4</v>
      </c>
      <c r="D28" s="226">
        <v>1.99</v>
      </c>
      <c r="E28" s="226" t="s">
        <v>1047</v>
      </c>
      <c r="F28" s="234">
        <f t="shared" si="0"/>
        <v>7.96</v>
      </c>
    </row>
    <row r="29" spans="1:6" s="221" customFormat="1" x14ac:dyDescent="0.25">
      <c r="A29" s="230">
        <v>20410</v>
      </c>
      <c r="B29" s="230" t="s">
        <v>618</v>
      </c>
      <c r="C29" s="228">
        <v>6</v>
      </c>
      <c r="D29" s="226">
        <v>2.4900000000000002</v>
      </c>
      <c r="E29" s="226" t="s">
        <v>1047</v>
      </c>
      <c r="F29" s="234">
        <f t="shared" si="0"/>
        <v>14.940000000000001</v>
      </c>
    </row>
    <row r="30" spans="1:6" s="221" customFormat="1" x14ac:dyDescent="0.25">
      <c r="A30" s="230">
        <v>20420</v>
      </c>
      <c r="B30" s="230" t="s">
        <v>619</v>
      </c>
      <c r="C30" s="228">
        <v>9</v>
      </c>
      <c r="D30" s="226">
        <v>2.87</v>
      </c>
      <c r="E30" s="226" t="s">
        <v>1047</v>
      </c>
      <c r="F30" s="234">
        <f t="shared" si="0"/>
        <v>25.830000000000002</v>
      </c>
    </row>
    <row r="31" spans="1:6" s="221" customFormat="1" x14ac:dyDescent="0.25">
      <c r="A31" s="230">
        <v>20440</v>
      </c>
      <c r="B31" s="230" t="s">
        <v>621</v>
      </c>
      <c r="C31" s="228">
        <v>1</v>
      </c>
      <c r="D31" s="226">
        <v>12.05</v>
      </c>
      <c r="E31" s="226" t="s">
        <v>1047</v>
      </c>
      <c r="F31" s="234">
        <f t="shared" si="0"/>
        <v>12.05</v>
      </c>
    </row>
    <row r="32" spans="1:6" s="221" customFormat="1" x14ac:dyDescent="0.25">
      <c r="A32" s="230">
        <v>20650</v>
      </c>
      <c r="B32" s="230" t="s">
        <v>345</v>
      </c>
      <c r="C32" s="228">
        <v>2</v>
      </c>
      <c r="D32" s="241">
        <v>10.31</v>
      </c>
      <c r="E32" s="226" t="s">
        <v>1047</v>
      </c>
      <c r="F32" s="234">
        <f t="shared" si="0"/>
        <v>20.62</v>
      </c>
    </row>
    <row r="33" spans="1:6" s="221" customFormat="1" x14ac:dyDescent="0.25">
      <c r="A33" s="230">
        <v>20700</v>
      </c>
      <c r="B33" s="230" t="s">
        <v>347</v>
      </c>
      <c r="C33" s="229">
        <v>2</v>
      </c>
      <c r="D33" s="226">
        <v>14.35</v>
      </c>
      <c r="E33" s="226" t="s">
        <v>1047</v>
      </c>
      <c r="F33" s="234">
        <f t="shared" si="0"/>
        <v>28.7</v>
      </c>
    </row>
    <row r="34" spans="1:6" s="221" customFormat="1" x14ac:dyDescent="0.25">
      <c r="A34" s="230">
        <v>20730</v>
      </c>
      <c r="B34" s="230" t="s">
        <v>625</v>
      </c>
      <c r="C34" s="228">
        <v>6</v>
      </c>
      <c r="D34" s="226">
        <v>2.4700000000000002</v>
      </c>
      <c r="E34" s="226" t="s">
        <v>1047</v>
      </c>
      <c r="F34" s="234">
        <f t="shared" si="0"/>
        <v>14.82</v>
      </c>
    </row>
    <row r="35" spans="1:6" s="221" customFormat="1" x14ac:dyDescent="0.25">
      <c r="A35" s="230">
        <v>20780</v>
      </c>
      <c r="B35" s="230" t="s">
        <v>630</v>
      </c>
      <c r="C35" s="228">
        <v>6</v>
      </c>
      <c r="D35" s="226">
        <v>5.56</v>
      </c>
      <c r="E35" s="226" t="s">
        <v>1047</v>
      </c>
      <c r="F35" s="234">
        <f t="shared" si="0"/>
        <v>33.36</v>
      </c>
    </row>
    <row r="36" spans="1:6" s="221" customFormat="1" x14ac:dyDescent="0.25">
      <c r="A36" s="230">
        <v>20850</v>
      </c>
      <c r="B36" s="230" t="s">
        <v>351</v>
      </c>
      <c r="C36" s="228">
        <v>3</v>
      </c>
      <c r="D36" s="226">
        <v>1.21</v>
      </c>
      <c r="E36" s="226" t="s">
        <v>1047</v>
      </c>
      <c r="F36" s="234">
        <f t="shared" si="0"/>
        <v>3.63</v>
      </c>
    </row>
    <row r="37" spans="1:6" s="221" customFormat="1" x14ac:dyDescent="0.25">
      <c r="A37" s="230">
        <v>20860</v>
      </c>
      <c r="B37" s="230" t="s">
        <v>352</v>
      </c>
      <c r="C37" s="229">
        <v>4</v>
      </c>
      <c r="D37" s="226">
        <v>2.5299999999999998</v>
      </c>
      <c r="E37" s="226" t="s">
        <v>1047</v>
      </c>
      <c r="F37" s="234">
        <f t="shared" si="0"/>
        <v>10.119999999999999</v>
      </c>
    </row>
    <row r="38" spans="1:6" s="221" customFormat="1" x14ac:dyDescent="0.25">
      <c r="A38" s="230">
        <v>20870</v>
      </c>
      <c r="B38" s="230" t="s">
        <v>353</v>
      </c>
      <c r="C38" s="229">
        <v>1</v>
      </c>
      <c r="D38" s="226">
        <v>1.62</v>
      </c>
      <c r="E38" s="226" t="s">
        <v>1047</v>
      </c>
      <c r="F38" s="234">
        <f t="shared" si="0"/>
        <v>1.62</v>
      </c>
    </row>
    <row r="39" spans="1:6" s="221" customFormat="1" x14ac:dyDescent="0.25">
      <c r="A39" s="230">
        <v>20890</v>
      </c>
      <c r="B39" s="230" t="s">
        <v>355</v>
      </c>
      <c r="C39" s="228">
        <v>3</v>
      </c>
      <c r="D39" s="226">
        <v>3.39</v>
      </c>
      <c r="E39" s="226" t="s">
        <v>1047</v>
      </c>
      <c r="F39" s="234">
        <f t="shared" si="0"/>
        <v>10.17</v>
      </c>
    </row>
    <row r="40" spans="1:6" s="221" customFormat="1" x14ac:dyDescent="0.25">
      <c r="A40" s="230">
        <v>20900</v>
      </c>
      <c r="B40" s="230" t="s">
        <v>356</v>
      </c>
      <c r="C40" s="228">
        <v>4</v>
      </c>
      <c r="D40" s="226">
        <v>3.57</v>
      </c>
      <c r="E40" s="226" t="s">
        <v>1047</v>
      </c>
      <c r="F40" s="234">
        <f t="shared" si="0"/>
        <v>14.28</v>
      </c>
    </row>
    <row r="41" spans="1:6" s="221" customFormat="1" x14ac:dyDescent="0.25">
      <c r="A41" s="230">
        <v>23000</v>
      </c>
      <c r="B41" s="236" t="s">
        <v>383</v>
      </c>
      <c r="C41" s="228">
        <v>10</v>
      </c>
      <c r="D41" s="226">
        <v>6.88</v>
      </c>
      <c r="E41" s="226" t="s">
        <v>1047</v>
      </c>
      <c r="F41" s="234">
        <f t="shared" si="0"/>
        <v>68.8</v>
      </c>
    </row>
    <row r="42" spans="1:6" s="221" customFormat="1" x14ac:dyDescent="0.25">
      <c r="A42" s="230">
        <v>23050</v>
      </c>
      <c r="B42" s="236" t="s">
        <v>388</v>
      </c>
      <c r="C42" s="229">
        <v>10</v>
      </c>
      <c r="D42" s="226">
        <v>16.72</v>
      </c>
      <c r="E42" s="226" t="s">
        <v>1047</v>
      </c>
      <c r="F42" s="234">
        <f t="shared" si="0"/>
        <v>167.2</v>
      </c>
    </row>
    <row r="43" spans="1:6" s="221" customFormat="1" x14ac:dyDescent="0.25">
      <c r="A43" s="230">
        <v>23110</v>
      </c>
      <c r="B43" s="236" t="s">
        <v>394</v>
      </c>
      <c r="C43" s="228">
        <v>12</v>
      </c>
      <c r="D43" s="226">
        <v>19.82</v>
      </c>
      <c r="E43" s="226" t="s">
        <v>1047</v>
      </c>
      <c r="F43" s="234">
        <f t="shared" si="0"/>
        <v>237.84</v>
      </c>
    </row>
    <row r="44" spans="1:6" s="221" customFormat="1" x14ac:dyDescent="0.25">
      <c r="A44" s="230">
        <v>23120</v>
      </c>
      <c r="B44" s="236" t="s">
        <v>395</v>
      </c>
      <c r="C44" s="228">
        <v>16</v>
      </c>
      <c r="D44" s="226">
        <v>25.48</v>
      </c>
      <c r="E44" s="226" t="s">
        <v>1047</v>
      </c>
      <c r="F44" s="234">
        <f t="shared" si="0"/>
        <v>407.68</v>
      </c>
    </row>
    <row r="45" spans="1:6" s="221" customFormat="1" x14ac:dyDescent="0.25">
      <c r="A45" s="230">
        <v>23130</v>
      </c>
      <c r="B45" s="236" t="s">
        <v>396</v>
      </c>
      <c r="C45" s="228">
        <v>9</v>
      </c>
      <c r="D45" s="226">
        <v>27.67</v>
      </c>
      <c r="E45" s="226" t="s">
        <v>1047</v>
      </c>
      <c r="F45" s="234">
        <f t="shared" si="0"/>
        <v>249.03000000000003</v>
      </c>
    </row>
    <row r="46" spans="1:6" s="221" customFormat="1" x14ac:dyDescent="0.25">
      <c r="A46" s="230">
        <v>23140</v>
      </c>
      <c r="B46" s="236" t="s">
        <v>912</v>
      </c>
      <c r="C46" s="228">
        <v>7</v>
      </c>
      <c r="D46" s="226">
        <v>30.9</v>
      </c>
      <c r="E46" s="226" t="s">
        <v>1047</v>
      </c>
      <c r="F46" s="234">
        <f t="shared" si="0"/>
        <v>216.29999999999998</v>
      </c>
    </row>
    <row r="47" spans="1:6" s="221" customFormat="1" x14ac:dyDescent="0.25">
      <c r="A47" s="230">
        <v>23160</v>
      </c>
      <c r="B47" s="237" t="s">
        <v>398</v>
      </c>
      <c r="C47" s="228">
        <v>7</v>
      </c>
      <c r="D47" s="226">
        <v>38.950000000000003</v>
      </c>
      <c r="E47" s="226" t="s">
        <v>1047</v>
      </c>
      <c r="F47" s="234">
        <f t="shared" si="0"/>
        <v>272.65000000000003</v>
      </c>
    </row>
    <row r="48" spans="1:6" s="221" customFormat="1" x14ac:dyDescent="0.25">
      <c r="A48" s="230">
        <v>23170</v>
      </c>
      <c r="B48" s="236" t="s">
        <v>399</v>
      </c>
      <c r="C48" s="228">
        <v>6</v>
      </c>
      <c r="D48" s="226">
        <v>47.52</v>
      </c>
      <c r="E48" s="226" t="s">
        <v>1047</v>
      </c>
      <c r="F48" s="234">
        <f t="shared" si="0"/>
        <v>285.12</v>
      </c>
    </row>
    <row r="49" spans="1:6" s="221" customFormat="1" x14ac:dyDescent="0.25">
      <c r="A49" s="230">
        <v>23190</v>
      </c>
      <c r="B49" s="236" t="s">
        <v>401</v>
      </c>
      <c r="C49" s="228">
        <v>1</v>
      </c>
      <c r="D49" s="226">
        <v>67.78</v>
      </c>
      <c r="E49" s="226" t="s">
        <v>1047</v>
      </c>
      <c r="F49" s="234">
        <f t="shared" si="0"/>
        <v>67.78</v>
      </c>
    </row>
    <row r="50" spans="1:6" s="221" customFormat="1" x14ac:dyDescent="0.25">
      <c r="A50" s="230">
        <v>24000</v>
      </c>
      <c r="B50" s="236" t="s">
        <v>425</v>
      </c>
      <c r="C50" s="228">
        <v>8</v>
      </c>
      <c r="D50" s="226">
        <v>4.1500000000000004</v>
      </c>
      <c r="E50" s="226" t="s">
        <v>1047</v>
      </c>
      <c r="F50" s="234">
        <f t="shared" si="0"/>
        <v>33.200000000000003</v>
      </c>
    </row>
    <row r="51" spans="1:6" s="221" customFormat="1" x14ac:dyDescent="0.25">
      <c r="A51" s="230">
        <v>24020</v>
      </c>
      <c r="B51" s="236" t="s">
        <v>427</v>
      </c>
      <c r="C51" s="229">
        <v>8</v>
      </c>
      <c r="D51" s="226">
        <v>0.51</v>
      </c>
      <c r="E51" s="226" t="s">
        <v>1047</v>
      </c>
      <c r="F51" s="234">
        <f t="shared" si="0"/>
        <v>4.08</v>
      </c>
    </row>
    <row r="52" spans="1:6" s="221" customFormat="1" x14ac:dyDescent="0.25">
      <c r="A52" s="230">
        <v>24040</v>
      </c>
      <c r="B52" s="236" t="s">
        <v>428</v>
      </c>
      <c r="C52" s="228">
        <v>2</v>
      </c>
      <c r="D52" s="226">
        <v>0.46</v>
      </c>
      <c r="E52" s="226" t="s">
        <v>1047</v>
      </c>
      <c r="F52" s="234">
        <f t="shared" si="0"/>
        <v>0.92</v>
      </c>
    </row>
    <row r="53" spans="1:6" s="221" customFormat="1" x14ac:dyDescent="0.25">
      <c r="A53" s="230">
        <v>24050</v>
      </c>
      <c r="B53" s="236" t="s">
        <v>429</v>
      </c>
      <c r="C53" s="228">
        <v>2</v>
      </c>
      <c r="D53" s="226">
        <v>0.39</v>
      </c>
      <c r="E53" s="226" t="s">
        <v>1047</v>
      </c>
      <c r="F53" s="234">
        <f t="shared" si="0"/>
        <v>0.78</v>
      </c>
    </row>
    <row r="54" spans="1:6" s="221" customFormat="1" x14ac:dyDescent="0.25">
      <c r="A54" s="230">
        <v>24060</v>
      </c>
      <c r="B54" s="236" t="s">
        <v>430</v>
      </c>
      <c r="C54" s="228">
        <v>2</v>
      </c>
      <c r="D54" s="226">
        <v>0.43</v>
      </c>
      <c r="E54" s="226" t="s">
        <v>1047</v>
      </c>
      <c r="F54" s="234">
        <f t="shared" si="0"/>
        <v>0.86</v>
      </c>
    </row>
    <row r="55" spans="1:6" s="221" customFormat="1" x14ac:dyDescent="0.25">
      <c r="A55" s="230">
        <v>24080</v>
      </c>
      <c r="B55" s="236" t="s">
        <v>432</v>
      </c>
      <c r="C55" s="228">
        <v>2</v>
      </c>
      <c r="D55" s="226">
        <v>0.66</v>
      </c>
      <c r="E55" s="226" t="s">
        <v>1047</v>
      </c>
      <c r="F55" s="234">
        <f t="shared" si="0"/>
        <v>1.32</v>
      </c>
    </row>
    <row r="56" spans="1:6" s="221" customFormat="1" x14ac:dyDescent="0.25">
      <c r="A56" s="230">
        <v>24090</v>
      </c>
      <c r="B56" s="236" t="s">
        <v>654</v>
      </c>
      <c r="C56" s="228">
        <v>2</v>
      </c>
      <c r="D56" s="226">
        <v>1.5</v>
      </c>
      <c r="E56" s="226" t="s">
        <v>1047</v>
      </c>
      <c r="F56" s="234">
        <f t="shared" si="0"/>
        <v>3</v>
      </c>
    </row>
    <row r="57" spans="1:6" s="221" customFormat="1" x14ac:dyDescent="0.25">
      <c r="A57" s="230">
        <v>24160</v>
      </c>
      <c r="B57" s="236" t="s">
        <v>659</v>
      </c>
      <c r="C57" s="229">
        <v>5</v>
      </c>
      <c r="D57" s="226">
        <v>23.48</v>
      </c>
      <c r="E57" s="226" t="s">
        <v>1047</v>
      </c>
      <c r="F57" s="234">
        <f t="shared" si="0"/>
        <v>117.4</v>
      </c>
    </row>
    <row r="58" spans="1:6" s="221" customFormat="1" x14ac:dyDescent="0.25">
      <c r="A58" s="230">
        <v>24170</v>
      </c>
      <c r="B58" s="236" t="s">
        <v>660</v>
      </c>
      <c r="C58" s="228">
        <v>4</v>
      </c>
      <c r="D58" s="226">
        <v>1.98</v>
      </c>
      <c r="E58" s="226" t="s">
        <v>1047</v>
      </c>
      <c r="F58" s="234">
        <f t="shared" si="0"/>
        <v>7.92</v>
      </c>
    </row>
    <row r="59" spans="1:6" s="221" customFormat="1" x14ac:dyDescent="0.25">
      <c r="A59" s="230">
        <v>24180</v>
      </c>
      <c r="B59" s="236" t="s">
        <v>661</v>
      </c>
      <c r="C59" s="229">
        <v>4</v>
      </c>
      <c r="D59" s="226">
        <v>4.0599999999999996</v>
      </c>
      <c r="E59" s="226" t="s">
        <v>1047</v>
      </c>
      <c r="F59" s="234">
        <f t="shared" si="0"/>
        <v>16.239999999999998</v>
      </c>
    </row>
    <row r="60" spans="1:6" s="221" customFormat="1" x14ac:dyDescent="0.25">
      <c r="A60" s="230">
        <v>24200</v>
      </c>
      <c r="B60" s="236" t="s">
        <v>436</v>
      </c>
      <c r="C60" s="228">
        <v>4</v>
      </c>
      <c r="D60" s="226">
        <v>0.88</v>
      </c>
      <c r="E60" s="226" t="s">
        <v>1047</v>
      </c>
      <c r="F60" s="234">
        <f t="shared" si="0"/>
        <v>3.52</v>
      </c>
    </row>
    <row r="61" spans="1:6" s="221" customFormat="1" x14ac:dyDescent="0.25">
      <c r="A61" s="230">
        <v>25160</v>
      </c>
      <c r="B61" s="236" t="s">
        <v>1804</v>
      </c>
      <c r="C61" s="228">
        <v>6</v>
      </c>
      <c r="D61" s="241">
        <v>160.99</v>
      </c>
      <c r="E61" s="226" t="s">
        <v>1047</v>
      </c>
      <c r="F61" s="234">
        <f t="shared" si="0"/>
        <v>965.94</v>
      </c>
    </row>
    <row r="62" spans="1:6" s="221" customFormat="1" x14ac:dyDescent="0.25">
      <c r="A62" s="230">
        <v>25190</v>
      </c>
      <c r="B62" s="236" t="s">
        <v>919</v>
      </c>
      <c r="C62" s="228">
        <v>1</v>
      </c>
      <c r="D62" s="241">
        <v>242.06</v>
      </c>
      <c r="E62" s="226" t="s">
        <v>1047</v>
      </c>
      <c r="F62" s="234">
        <f t="shared" si="0"/>
        <v>242.06</v>
      </c>
    </row>
    <row r="63" spans="1:6" s="221" customFormat="1" x14ac:dyDescent="0.25">
      <c r="A63" s="230">
        <v>26000</v>
      </c>
      <c r="B63" s="230" t="s">
        <v>1813</v>
      </c>
      <c r="C63" s="226">
        <v>4</v>
      </c>
      <c r="D63" s="241">
        <v>3.71</v>
      </c>
      <c r="E63" s="226" t="s">
        <v>1047</v>
      </c>
      <c r="F63" s="234">
        <f t="shared" si="0"/>
        <v>14.84</v>
      </c>
    </row>
    <row r="64" spans="1:6" s="221" customFormat="1" x14ac:dyDescent="0.25">
      <c r="A64" s="230">
        <v>26020</v>
      </c>
      <c r="B64" s="230" t="s">
        <v>737</v>
      </c>
      <c r="C64" s="226">
        <v>4</v>
      </c>
      <c r="D64" s="241">
        <v>4.68</v>
      </c>
      <c r="E64" s="226" t="s">
        <v>1047</v>
      </c>
      <c r="F64" s="234">
        <f t="shared" si="0"/>
        <v>18.72</v>
      </c>
    </row>
    <row r="65" spans="1:8" s="221" customFormat="1" x14ac:dyDescent="0.25">
      <c r="A65" s="230">
        <v>26030</v>
      </c>
      <c r="B65" s="230" t="s">
        <v>533</v>
      </c>
      <c r="C65" s="226">
        <v>2</v>
      </c>
      <c r="D65" s="241">
        <v>24.51</v>
      </c>
      <c r="E65" s="226" t="s">
        <v>1047</v>
      </c>
      <c r="F65" s="234">
        <f t="shared" ref="F65:F128" si="1">C65*D65</f>
        <v>49.02</v>
      </c>
    </row>
    <row r="66" spans="1:8" s="221" customFormat="1" x14ac:dyDescent="0.25">
      <c r="A66" s="230">
        <v>26050</v>
      </c>
      <c r="B66" s="230" t="s">
        <v>973</v>
      </c>
      <c r="C66" s="226">
        <v>2</v>
      </c>
      <c r="D66" s="241">
        <v>40.75</v>
      </c>
      <c r="E66" s="226" t="s">
        <v>1047</v>
      </c>
      <c r="F66" s="234">
        <f t="shared" si="1"/>
        <v>81.5</v>
      </c>
    </row>
    <row r="67" spans="1:8" s="221" customFormat="1" x14ac:dyDescent="0.25">
      <c r="A67" s="230">
        <v>26120</v>
      </c>
      <c r="B67" s="230" t="s">
        <v>1448</v>
      </c>
      <c r="C67" s="228">
        <v>2</v>
      </c>
      <c r="D67" s="241">
        <v>33.81</v>
      </c>
      <c r="E67" s="226" t="s">
        <v>1047</v>
      </c>
      <c r="F67" s="234">
        <f t="shared" si="1"/>
        <v>67.62</v>
      </c>
    </row>
    <row r="68" spans="1:8" s="221" customFormat="1" x14ac:dyDescent="0.25">
      <c r="A68" s="230">
        <v>26510</v>
      </c>
      <c r="B68" s="236" t="s">
        <v>915</v>
      </c>
      <c r="C68" s="228">
        <v>2</v>
      </c>
      <c r="D68" s="226">
        <v>22.75</v>
      </c>
      <c r="E68" s="226" t="s">
        <v>1047</v>
      </c>
      <c r="F68" s="234">
        <f t="shared" si="1"/>
        <v>45.5</v>
      </c>
    </row>
    <row r="69" spans="1:8" s="221" customFormat="1" x14ac:dyDescent="0.25">
      <c r="A69" s="230">
        <v>26520</v>
      </c>
      <c r="B69" s="236" t="s">
        <v>665</v>
      </c>
      <c r="C69" s="228">
        <v>2</v>
      </c>
      <c r="D69" s="226">
        <v>13.26</v>
      </c>
      <c r="E69" s="226" t="s">
        <v>1047</v>
      </c>
      <c r="F69" s="234">
        <f t="shared" si="1"/>
        <v>26.52</v>
      </c>
    </row>
    <row r="70" spans="1:8" s="221" customFormat="1" x14ac:dyDescent="0.25">
      <c r="A70" s="230">
        <v>27010</v>
      </c>
      <c r="B70" s="236" t="s">
        <v>666</v>
      </c>
      <c r="C70" s="228">
        <v>1</v>
      </c>
      <c r="D70" s="241">
        <v>91.5</v>
      </c>
      <c r="E70" s="226" t="s">
        <v>1047</v>
      </c>
      <c r="F70" s="234">
        <f t="shared" si="1"/>
        <v>91.5</v>
      </c>
    </row>
    <row r="71" spans="1:8" s="221" customFormat="1" x14ac:dyDescent="0.25">
      <c r="A71" s="230">
        <v>27070</v>
      </c>
      <c r="B71" s="236" t="s">
        <v>1819</v>
      </c>
      <c r="C71" s="228">
        <v>1</v>
      </c>
      <c r="D71" s="241">
        <v>111</v>
      </c>
      <c r="E71" s="226" t="s">
        <v>1047</v>
      </c>
      <c r="F71" s="234">
        <f t="shared" si="1"/>
        <v>111</v>
      </c>
    </row>
    <row r="72" spans="1:8" s="221" customFormat="1" x14ac:dyDescent="0.25">
      <c r="A72" s="230">
        <v>27080</v>
      </c>
      <c r="B72" s="236" t="s">
        <v>1820</v>
      </c>
      <c r="C72" s="228">
        <v>3</v>
      </c>
      <c r="D72" s="241">
        <v>116.1</v>
      </c>
      <c r="E72" s="226" t="s">
        <v>1047</v>
      </c>
      <c r="F72" s="234">
        <f t="shared" si="1"/>
        <v>348.29999999999995</v>
      </c>
    </row>
    <row r="73" spans="1:8" s="221" customFormat="1" x14ac:dyDescent="0.25">
      <c r="A73" s="230">
        <v>27130</v>
      </c>
      <c r="B73" s="236" t="s">
        <v>1825</v>
      </c>
      <c r="C73" s="228">
        <v>1</v>
      </c>
      <c r="D73" s="241">
        <v>92.2</v>
      </c>
      <c r="E73" s="226" t="s">
        <v>1047</v>
      </c>
      <c r="F73" s="234">
        <f t="shared" si="1"/>
        <v>92.2</v>
      </c>
    </row>
    <row r="74" spans="1:8" s="221" customFormat="1" x14ac:dyDescent="0.25">
      <c r="A74" s="230">
        <v>29420</v>
      </c>
      <c r="B74" s="230" t="s">
        <v>479</v>
      </c>
      <c r="C74" s="228">
        <v>2</v>
      </c>
      <c r="D74" s="226">
        <v>175</v>
      </c>
      <c r="E74" s="226" t="s">
        <v>1047</v>
      </c>
      <c r="F74" s="234">
        <f t="shared" si="1"/>
        <v>350</v>
      </c>
    </row>
    <row r="75" spans="1:8" s="221" customFormat="1" x14ac:dyDescent="0.25">
      <c r="A75" s="230">
        <v>29430</v>
      </c>
      <c r="B75" s="230" t="s">
        <v>480</v>
      </c>
      <c r="C75" s="228">
        <v>1</v>
      </c>
      <c r="D75" s="226">
        <v>265.89</v>
      </c>
      <c r="E75" s="226" t="s">
        <v>1047</v>
      </c>
      <c r="F75" s="234">
        <f t="shared" si="1"/>
        <v>265.89</v>
      </c>
    </row>
    <row r="76" spans="1:8" s="221" customFormat="1" x14ac:dyDescent="0.25">
      <c r="A76" s="230">
        <v>29480</v>
      </c>
      <c r="B76" s="230" t="s">
        <v>1780</v>
      </c>
      <c r="C76" s="228">
        <v>6</v>
      </c>
      <c r="D76" s="226">
        <v>2.2000000000000002</v>
      </c>
      <c r="E76" s="226" t="s">
        <v>1047</v>
      </c>
      <c r="F76" s="234">
        <f t="shared" si="1"/>
        <v>13.200000000000001</v>
      </c>
      <c r="G76" s="238"/>
      <c r="H76" s="238"/>
    </row>
    <row r="77" spans="1:8" s="221" customFormat="1" x14ac:dyDescent="0.25">
      <c r="A77" s="230">
        <v>39000</v>
      </c>
      <c r="B77" s="230" t="s">
        <v>747</v>
      </c>
      <c r="C77" s="226">
        <v>2</v>
      </c>
      <c r="D77" s="241">
        <v>5.95</v>
      </c>
      <c r="E77" s="226" t="s">
        <v>1047</v>
      </c>
      <c r="F77" s="234">
        <f t="shared" si="1"/>
        <v>11.9</v>
      </c>
    </row>
    <row r="78" spans="1:8" s="221" customFormat="1" x14ac:dyDescent="0.25">
      <c r="A78" s="230">
        <v>39020</v>
      </c>
      <c r="B78" s="230" t="s">
        <v>979</v>
      </c>
      <c r="C78" s="226">
        <v>6</v>
      </c>
      <c r="D78" s="241">
        <v>2.98</v>
      </c>
      <c r="E78" s="226" t="s">
        <v>1047</v>
      </c>
      <c r="F78" s="234">
        <f t="shared" si="1"/>
        <v>17.88</v>
      </c>
    </row>
    <row r="79" spans="1:8" s="221" customFormat="1" x14ac:dyDescent="0.25">
      <c r="A79" s="230">
        <v>39030</v>
      </c>
      <c r="B79" s="230" t="s">
        <v>439</v>
      </c>
      <c r="C79" s="226">
        <v>10</v>
      </c>
      <c r="D79" s="241">
        <v>1.37</v>
      </c>
      <c r="E79" s="226" t="s">
        <v>1047</v>
      </c>
      <c r="F79" s="234">
        <f t="shared" si="1"/>
        <v>13.700000000000001</v>
      </c>
    </row>
    <row r="80" spans="1:8" s="221" customFormat="1" x14ac:dyDescent="0.25">
      <c r="A80" s="230">
        <v>39050</v>
      </c>
      <c r="B80" s="230" t="s">
        <v>748</v>
      </c>
      <c r="C80" s="226">
        <v>1</v>
      </c>
      <c r="D80" s="241">
        <v>4.88</v>
      </c>
      <c r="E80" s="226" t="s">
        <v>1047</v>
      </c>
      <c r="F80" s="234">
        <f t="shared" si="1"/>
        <v>4.88</v>
      </c>
    </row>
    <row r="81" spans="1:6" s="221" customFormat="1" x14ac:dyDescent="0.25">
      <c r="A81" s="230">
        <v>39110</v>
      </c>
      <c r="B81" s="237" t="s">
        <v>1783</v>
      </c>
      <c r="C81" s="226">
        <v>1</v>
      </c>
      <c r="D81" s="226">
        <v>17.239999999999998</v>
      </c>
      <c r="E81" s="226" t="s">
        <v>1047</v>
      </c>
      <c r="F81" s="234">
        <f t="shared" si="1"/>
        <v>17.239999999999998</v>
      </c>
    </row>
    <row r="82" spans="1:6" s="221" customFormat="1" x14ac:dyDescent="0.25">
      <c r="A82" s="230">
        <v>39120</v>
      </c>
      <c r="B82" s="230" t="s">
        <v>538</v>
      </c>
      <c r="C82" s="226">
        <v>5</v>
      </c>
      <c r="D82" s="226">
        <v>4.55</v>
      </c>
      <c r="E82" s="226" t="s">
        <v>1047</v>
      </c>
      <c r="F82" s="234">
        <f t="shared" si="1"/>
        <v>22.75</v>
      </c>
    </row>
    <row r="83" spans="1:6" s="221" customFormat="1" x14ac:dyDescent="0.25">
      <c r="A83" s="230">
        <v>39130</v>
      </c>
      <c r="B83" s="230" t="s">
        <v>753</v>
      </c>
      <c r="C83" s="226">
        <v>200</v>
      </c>
      <c r="D83" s="226">
        <v>0.19900000000000001</v>
      </c>
      <c r="E83" s="226" t="s">
        <v>1047</v>
      </c>
      <c r="F83" s="234">
        <f t="shared" si="1"/>
        <v>39.800000000000004</v>
      </c>
    </row>
    <row r="84" spans="1:6" s="221" customFormat="1" x14ac:dyDescent="0.25">
      <c r="A84" s="230">
        <v>39140</v>
      </c>
      <c r="B84" s="230" t="s">
        <v>980</v>
      </c>
      <c r="C84" s="226">
        <v>4</v>
      </c>
      <c r="D84" s="226">
        <v>0.45</v>
      </c>
      <c r="E84" s="226" t="s">
        <v>1047</v>
      </c>
      <c r="F84" s="234">
        <f t="shared" si="1"/>
        <v>1.8</v>
      </c>
    </row>
    <row r="85" spans="1:6" s="221" customFormat="1" x14ac:dyDescent="0.25">
      <c r="A85" s="230">
        <v>39150</v>
      </c>
      <c r="B85" s="230" t="s">
        <v>755</v>
      </c>
      <c r="C85" s="226">
        <v>2</v>
      </c>
      <c r="D85" s="226">
        <v>15.88</v>
      </c>
      <c r="E85" s="226" t="s">
        <v>1047</v>
      </c>
      <c r="F85" s="234">
        <f t="shared" si="1"/>
        <v>31.76</v>
      </c>
    </row>
    <row r="86" spans="1:6" s="221" customFormat="1" x14ac:dyDescent="0.25">
      <c r="A86" s="230">
        <v>39170</v>
      </c>
      <c r="B86" s="230" t="s">
        <v>541</v>
      </c>
      <c r="C86" s="226">
        <v>12</v>
      </c>
      <c r="D86" s="226">
        <v>1.2</v>
      </c>
      <c r="E86" s="226" t="s">
        <v>1047</v>
      </c>
      <c r="F86" s="234">
        <f t="shared" si="1"/>
        <v>14.399999999999999</v>
      </c>
    </row>
    <row r="87" spans="1:6" s="221" customFormat="1" x14ac:dyDescent="0.25">
      <c r="A87" s="230">
        <v>39180</v>
      </c>
      <c r="B87" s="230" t="s">
        <v>757</v>
      </c>
      <c r="C87" s="226">
        <v>2</v>
      </c>
      <c r="D87" s="226">
        <v>15.6</v>
      </c>
      <c r="E87" s="226" t="s">
        <v>1047</v>
      </c>
      <c r="F87" s="234">
        <f t="shared" si="1"/>
        <v>31.2</v>
      </c>
    </row>
    <row r="88" spans="1:6" s="221" customFormat="1" x14ac:dyDescent="0.25">
      <c r="A88" s="230">
        <v>39210</v>
      </c>
      <c r="B88" s="230" t="s">
        <v>1838</v>
      </c>
      <c r="C88" s="226">
        <v>5</v>
      </c>
      <c r="D88" s="226">
        <v>9.27</v>
      </c>
      <c r="E88" s="226" t="s">
        <v>1047</v>
      </c>
      <c r="F88" s="234">
        <f t="shared" si="1"/>
        <v>46.349999999999994</v>
      </c>
    </row>
    <row r="89" spans="1:6" s="221" customFormat="1" x14ac:dyDescent="0.25">
      <c r="A89" s="230">
        <v>39220</v>
      </c>
      <c r="B89" s="230" t="s">
        <v>758</v>
      </c>
      <c r="C89" s="226">
        <v>4</v>
      </c>
      <c r="D89" s="241">
        <v>0.98</v>
      </c>
      <c r="E89" s="226" t="s">
        <v>1047</v>
      </c>
      <c r="F89" s="234">
        <f t="shared" si="1"/>
        <v>3.92</v>
      </c>
    </row>
    <row r="90" spans="1:6" s="221" customFormat="1" x14ac:dyDescent="0.25">
      <c r="A90" s="230">
        <v>39230</v>
      </c>
      <c r="B90" s="230" t="s">
        <v>563</v>
      </c>
      <c r="C90" s="226">
        <v>3</v>
      </c>
      <c r="D90" s="241">
        <v>2.33</v>
      </c>
      <c r="E90" s="226" t="s">
        <v>1047</v>
      </c>
      <c r="F90" s="234">
        <f t="shared" si="1"/>
        <v>6.99</v>
      </c>
    </row>
    <row r="91" spans="1:6" s="221" customFormat="1" x14ac:dyDescent="0.25">
      <c r="A91" s="230">
        <v>39240</v>
      </c>
      <c r="B91" s="230" t="s">
        <v>740</v>
      </c>
      <c r="C91" s="226">
        <v>2</v>
      </c>
      <c r="D91" s="241">
        <v>5.81</v>
      </c>
      <c r="E91" s="226" t="s">
        <v>1047</v>
      </c>
      <c r="F91" s="234">
        <f t="shared" si="1"/>
        <v>11.62</v>
      </c>
    </row>
    <row r="92" spans="1:6" s="221" customFormat="1" x14ac:dyDescent="0.25">
      <c r="A92" s="263">
        <v>40095</v>
      </c>
      <c r="B92" s="263" t="s">
        <v>1839</v>
      </c>
      <c r="C92" s="226">
        <v>1</v>
      </c>
      <c r="D92" s="226">
        <v>13.42</v>
      </c>
      <c r="E92" s="226" t="s">
        <v>1047</v>
      </c>
      <c r="F92" s="234">
        <f t="shared" si="1"/>
        <v>13.42</v>
      </c>
    </row>
    <row r="93" spans="1:6" s="221" customFormat="1" x14ac:dyDescent="0.25">
      <c r="A93" s="226">
        <v>17210</v>
      </c>
      <c r="B93" s="226" t="s">
        <v>1773</v>
      </c>
      <c r="C93" s="229"/>
      <c r="D93" s="241">
        <v>3.85</v>
      </c>
      <c r="E93" s="226" t="s">
        <v>1047</v>
      </c>
      <c r="F93" s="234">
        <f t="shared" si="1"/>
        <v>0</v>
      </c>
    </row>
    <row r="94" spans="1:6" s="221" customFormat="1" x14ac:dyDescent="0.25">
      <c r="A94" s="226">
        <v>17230</v>
      </c>
      <c r="B94" s="226" t="s">
        <v>1774</v>
      </c>
      <c r="C94" s="228"/>
      <c r="D94" s="241">
        <v>3.25</v>
      </c>
      <c r="E94" s="226" t="s">
        <v>1047</v>
      </c>
      <c r="F94" s="234">
        <f t="shared" si="1"/>
        <v>0</v>
      </c>
    </row>
    <row r="95" spans="1:6" s="221" customFormat="1" x14ac:dyDescent="0.25">
      <c r="A95" s="230">
        <v>17500</v>
      </c>
      <c r="B95" s="236" t="s">
        <v>667</v>
      </c>
      <c r="C95" s="228"/>
      <c r="D95" s="241">
        <v>47.93</v>
      </c>
      <c r="E95" s="226" t="s">
        <v>1047</v>
      </c>
      <c r="F95" s="234">
        <f t="shared" si="1"/>
        <v>0</v>
      </c>
    </row>
    <row r="96" spans="1:6" s="221" customFormat="1" x14ac:dyDescent="0.25">
      <c r="A96" s="230">
        <v>17520</v>
      </c>
      <c r="B96" s="236" t="s">
        <v>669</v>
      </c>
      <c r="C96" s="228"/>
      <c r="D96" s="241"/>
      <c r="E96" s="226" t="s">
        <v>1047</v>
      </c>
      <c r="F96" s="234">
        <f t="shared" si="1"/>
        <v>0</v>
      </c>
    </row>
    <row r="97" spans="1:6" s="221" customFormat="1" x14ac:dyDescent="0.25">
      <c r="A97" s="230">
        <v>17600</v>
      </c>
      <c r="B97" s="230" t="s">
        <v>604</v>
      </c>
      <c r="C97" s="228"/>
      <c r="D97" s="241">
        <v>35.75</v>
      </c>
      <c r="E97" s="226" t="s">
        <v>1047</v>
      </c>
      <c r="F97" s="234">
        <f t="shared" si="1"/>
        <v>0</v>
      </c>
    </row>
    <row r="98" spans="1:6" s="221" customFormat="1" x14ac:dyDescent="0.25">
      <c r="A98" s="230">
        <v>17620</v>
      </c>
      <c r="B98" s="230" t="s">
        <v>366</v>
      </c>
      <c r="C98" s="228"/>
      <c r="D98" s="241"/>
      <c r="E98" s="226" t="s">
        <v>1047</v>
      </c>
      <c r="F98" s="234">
        <f t="shared" si="1"/>
        <v>0</v>
      </c>
    </row>
    <row r="99" spans="1:6" s="221" customFormat="1" x14ac:dyDescent="0.25">
      <c r="A99" s="230">
        <v>17630</v>
      </c>
      <c r="B99" s="230" t="s">
        <v>367</v>
      </c>
      <c r="C99" s="228"/>
      <c r="D99" s="241">
        <v>48.62</v>
      </c>
      <c r="E99" s="226" t="s">
        <v>1047</v>
      </c>
      <c r="F99" s="234">
        <f t="shared" si="1"/>
        <v>0</v>
      </c>
    </row>
    <row r="100" spans="1:6" s="221" customFormat="1" x14ac:dyDescent="0.25">
      <c r="A100" s="230">
        <v>17640</v>
      </c>
      <c r="B100" s="230" t="s">
        <v>368</v>
      </c>
      <c r="C100" s="229"/>
      <c r="D100" s="241"/>
      <c r="E100" s="226" t="s">
        <v>1047</v>
      </c>
      <c r="F100" s="234">
        <f t="shared" si="1"/>
        <v>0</v>
      </c>
    </row>
    <row r="101" spans="1:6" s="221" customFormat="1" x14ac:dyDescent="0.25">
      <c r="A101" s="230">
        <v>17650</v>
      </c>
      <c r="B101" s="230" t="s">
        <v>606</v>
      </c>
      <c r="C101" s="229"/>
      <c r="D101" s="241">
        <v>61.95</v>
      </c>
      <c r="E101" s="226" t="s">
        <v>1047</v>
      </c>
      <c r="F101" s="234">
        <f t="shared" si="1"/>
        <v>0</v>
      </c>
    </row>
    <row r="102" spans="1:6" s="221" customFormat="1" x14ac:dyDescent="0.25">
      <c r="A102" s="230">
        <v>17670</v>
      </c>
      <c r="B102" s="230" t="s">
        <v>603</v>
      </c>
      <c r="C102" s="228"/>
      <c r="D102" s="241">
        <v>9</v>
      </c>
      <c r="E102" s="226" t="s">
        <v>1047</v>
      </c>
      <c r="F102" s="234">
        <f t="shared" si="1"/>
        <v>0</v>
      </c>
    </row>
    <row r="103" spans="1:6" s="221" customFormat="1" x14ac:dyDescent="0.25">
      <c r="A103" s="226">
        <v>18000</v>
      </c>
      <c r="B103" s="226" t="s">
        <v>1388</v>
      </c>
      <c r="C103" s="229"/>
      <c r="D103" s="241">
        <v>44.68</v>
      </c>
      <c r="E103" s="226" t="s">
        <v>1047</v>
      </c>
      <c r="F103" s="234">
        <f t="shared" si="1"/>
        <v>0</v>
      </c>
    </row>
    <row r="104" spans="1:6" s="221" customFormat="1" x14ac:dyDescent="0.25">
      <c r="A104" s="226">
        <v>18010</v>
      </c>
      <c r="B104" s="226" t="s">
        <v>1389</v>
      </c>
      <c r="C104" s="228"/>
      <c r="D104" s="241">
        <v>36.76</v>
      </c>
      <c r="E104" s="226" t="s">
        <v>1047</v>
      </c>
      <c r="F104" s="234">
        <f t="shared" si="1"/>
        <v>0</v>
      </c>
    </row>
    <row r="105" spans="1:6" s="221" customFormat="1" x14ac:dyDescent="0.25">
      <c r="A105" s="226">
        <v>18020</v>
      </c>
      <c r="B105" s="226" t="s">
        <v>1390</v>
      </c>
      <c r="C105" s="228"/>
      <c r="D105" s="241">
        <v>59.87</v>
      </c>
      <c r="E105" s="226" t="s">
        <v>1047</v>
      </c>
      <c r="F105" s="234">
        <f t="shared" si="1"/>
        <v>0</v>
      </c>
    </row>
    <row r="106" spans="1:6" s="221" customFormat="1" x14ac:dyDescent="0.25">
      <c r="A106" s="226">
        <v>18030</v>
      </c>
      <c r="B106" s="230" t="s">
        <v>374</v>
      </c>
      <c r="C106" s="228"/>
      <c r="D106" s="241">
        <v>31.08</v>
      </c>
      <c r="E106" s="226" t="s">
        <v>1047</v>
      </c>
      <c r="F106" s="234">
        <f t="shared" si="1"/>
        <v>0</v>
      </c>
    </row>
    <row r="107" spans="1:6" s="221" customFormat="1" x14ac:dyDescent="0.25">
      <c r="A107" s="226">
        <v>18040</v>
      </c>
      <c r="B107" s="230" t="s">
        <v>845</v>
      </c>
      <c r="C107" s="228"/>
      <c r="D107" s="241">
        <v>30</v>
      </c>
      <c r="E107" s="226" t="s">
        <v>1047</v>
      </c>
      <c r="F107" s="234">
        <f t="shared" si="1"/>
        <v>0</v>
      </c>
    </row>
    <row r="108" spans="1:6" s="221" customFormat="1" x14ac:dyDescent="0.25">
      <c r="A108" s="226">
        <v>18050</v>
      </c>
      <c r="B108" s="230" t="s">
        <v>375</v>
      </c>
      <c r="C108" s="229"/>
      <c r="D108" s="241">
        <v>62.16</v>
      </c>
      <c r="E108" s="226" t="s">
        <v>1047</v>
      </c>
      <c r="F108" s="234">
        <f t="shared" si="1"/>
        <v>0</v>
      </c>
    </row>
    <row r="109" spans="1:6" s="221" customFormat="1" x14ac:dyDescent="0.25">
      <c r="A109" s="226">
        <v>18060</v>
      </c>
      <c r="B109" s="230" t="s">
        <v>376</v>
      </c>
      <c r="C109" s="229"/>
      <c r="D109" s="241">
        <v>33.46</v>
      </c>
      <c r="E109" s="226" t="s">
        <v>1047</v>
      </c>
      <c r="F109" s="234">
        <f t="shared" si="1"/>
        <v>0</v>
      </c>
    </row>
    <row r="110" spans="1:6" s="221" customFormat="1" x14ac:dyDescent="0.25">
      <c r="A110" s="226">
        <v>18070</v>
      </c>
      <c r="B110" s="230" t="s">
        <v>846</v>
      </c>
      <c r="C110" s="229"/>
      <c r="D110" s="241">
        <v>32</v>
      </c>
      <c r="E110" s="226" t="s">
        <v>1047</v>
      </c>
      <c r="F110" s="234">
        <f t="shared" si="1"/>
        <v>0</v>
      </c>
    </row>
    <row r="111" spans="1:6" s="221" customFormat="1" x14ac:dyDescent="0.25">
      <c r="A111" s="226">
        <v>18080</v>
      </c>
      <c r="B111" s="230" t="s">
        <v>377</v>
      </c>
      <c r="C111" s="229"/>
      <c r="D111" s="241">
        <v>62.58</v>
      </c>
      <c r="E111" s="226" t="s">
        <v>1047</v>
      </c>
      <c r="F111" s="234">
        <f t="shared" si="1"/>
        <v>0</v>
      </c>
    </row>
    <row r="112" spans="1:6" s="221" customFormat="1" x14ac:dyDescent="0.25">
      <c r="A112" s="226">
        <v>18100</v>
      </c>
      <c r="B112" s="226" t="s">
        <v>1404</v>
      </c>
      <c r="C112" s="228"/>
      <c r="D112" s="241">
        <v>38.799999999999997</v>
      </c>
      <c r="E112" s="226" t="s">
        <v>1047</v>
      </c>
      <c r="F112" s="234">
        <f t="shared" si="1"/>
        <v>0</v>
      </c>
    </row>
    <row r="113" spans="1:6" s="221" customFormat="1" x14ac:dyDescent="0.25">
      <c r="A113" s="226">
        <v>18120</v>
      </c>
      <c r="B113" s="226" t="s">
        <v>1415</v>
      </c>
      <c r="C113" s="228"/>
      <c r="D113" s="268">
        <v>47.97</v>
      </c>
      <c r="E113" s="226" t="s">
        <v>1047</v>
      </c>
      <c r="F113" s="234">
        <f t="shared" si="1"/>
        <v>0</v>
      </c>
    </row>
    <row r="114" spans="1:6" s="221" customFormat="1" x14ac:dyDescent="0.25">
      <c r="A114" s="226">
        <v>18130</v>
      </c>
      <c r="B114" s="226" t="s">
        <v>1416</v>
      </c>
      <c r="C114" s="228"/>
      <c r="D114" s="268">
        <v>40.020000000000003</v>
      </c>
      <c r="E114" s="226" t="s">
        <v>1047</v>
      </c>
      <c r="F114" s="234">
        <f t="shared" si="1"/>
        <v>0</v>
      </c>
    </row>
    <row r="115" spans="1:6" s="221" customFormat="1" x14ac:dyDescent="0.25">
      <c r="A115" s="226">
        <v>18140</v>
      </c>
      <c r="B115" s="226" t="s">
        <v>1417</v>
      </c>
      <c r="C115" s="228"/>
      <c r="D115" s="268">
        <v>66.39</v>
      </c>
      <c r="E115" s="226" t="s">
        <v>1047</v>
      </c>
      <c r="F115" s="234">
        <f t="shared" si="1"/>
        <v>0</v>
      </c>
    </row>
    <row r="116" spans="1:6" s="221" customFormat="1" x14ac:dyDescent="0.25">
      <c r="A116" s="226">
        <v>18150</v>
      </c>
      <c r="B116" s="230" t="s">
        <v>378</v>
      </c>
      <c r="C116" s="228"/>
      <c r="D116" s="268">
        <v>35.270000000000003</v>
      </c>
      <c r="E116" s="226" t="s">
        <v>1047</v>
      </c>
      <c r="F116" s="234">
        <f t="shared" si="1"/>
        <v>0</v>
      </c>
    </row>
    <row r="117" spans="1:6" s="221" customFormat="1" x14ac:dyDescent="0.25">
      <c r="A117" s="226">
        <v>18160</v>
      </c>
      <c r="B117" s="230" t="s">
        <v>849</v>
      </c>
      <c r="C117" s="229"/>
      <c r="D117" s="241">
        <v>34</v>
      </c>
      <c r="E117" s="226" t="s">
        <v>1047</v>
      </c>
      <c r="F117" s="234">
        <f t="shared" si="1"/>
        <v>0</v>
      </c>
    </row>
    <row r="118" spans="1:6" s="221" customFormat="1" x14ac:dyDescent="0.25">
      <c r="A118" s="226">
        <v>18170</v>
      </c>
      <c r="B118" s="230" t="s">
        <v>379</v>
      </c>
      <c r="C118" s="228"/>
      <c r="D118" s="241">
        <v>70.47</v>
      </c>
      <c r="E118" s="226" t="s">
        <v>1047</v>
      </c>
      <c r="F118" s="234">
        <f t="shared" si="1"/>
        <v>0</v>
      </c>
    </row>
    <row r="119" spans="1:6" s="221" customFormat="1" x14ac:dyDescent="0.25">
      <c r="A119" s="226">
        <v>18180</v>
      </c>
      <c r="B119" s="226" t="s">
        <v>1421</v>
      </c>
      <c r="C119" s="229"/>
      <c r="D119" s="241">
        <v>50.18</v>
      </c>
      <c r="E119" s="226" t="s">
        <v>1047</v>
      </c>
      <c r="F119" s="234">
        <f t="shared" si="1"/>
        <v>0</v>
      </c>
    </row>
    <row r="120" spans="1:6" s="221" customFormat="1" x14ac:dyDescent="0.25">
      <c r="A120" s="226">
        <v>18190</v>
      </c>
      <c r="B120" s="226" t="s">
        <v>1772</v>
      </c>
      <c r="C120" s="229"/>
      <c r="D120" s="241">
        <v>41.51</v>
      </c>
      <c r="E120" s="226" t="s">
        <v>1047</v>
      </c>
      <c r="F120" s="234">
        <f t="shared" si="1"/>
        <v>0</v>
      </c>
    </row>
    <row r="121" spans="1:6" s="221" customFormat="1" x14ac:dyDescent="0.25">
      <c r="A121" s="226">
        <v>18200</v>
      </c>
      <c r="B121" s="226" t="s">
        <v>1423</v>
      </c>
      <c r="C121" s="229"/>
      <c r="D121" s="241">
        <v>70.12</v>
      </c>
      <c r="E121" s="226" t="s">
        <v>1047</v>
      </c>
      <c r="F121" s="234">
        <f t="shared" si="1"/>
        <v>0</v>
      </c>
    </row>
    <row r="122" spans="1:6" s="221" customFormat="1" x14ac:dyDescent="0.25">
      <c r="A122" s="226">
        <v>18240</v>
      </c>
      <c r="B122" s="230" t="s">
        <v>850</v>
      </c>
      <c r="C122" s="229"/>
      <c r="D122" s="241">
        <v>42.34</v>
      </c>
      <c r="E122" s="226" t="s">
        <v>1047</v>
      </c>
      <c r="F122" s="234">
        <f t="shared" si="1"/>
        <v>0</v>
      </c>
    </row>
    <row r="123" spans="1:6" s="221" customFormat="1" x14ac:dyDescent="0.25">
      <c r="A123" s="226">
        <v>18250</v>
      </c>
      <c r="B123" s="230" t="s">
        <v>851</v>
      </c>
      <c r="C123" s="229"/>
      <c r="D123" s="241">
        <v>40</v>
      </c>
      <c r="E123" s="226" t="s">
        <v>1047</v>
      </c>
      <c r="F123" s="234">
        <f t="shared" si="1"/>
        <v>0</v>
      </c>
    </row>
    <row r="124" spans="1:6" s="221" customFormat="1" x14ac:dyDescent="0.25">
      <c r="A124" s="226">
        <v>18260</v>
      </c>
      <c r="B124" s="230" t="s">
        <v>852</v>
      </c>
      <c r="C124" s="228"/>
      <c r="D124" s="241">
        <v>74.7</v>
      </c>
      <c r="E124" s="226" t="s">
        <v>1047</v>
      </c>
      <c r="F124" s="234">
        <f t="shared" si="1"/>
        <v>0</v>
      </c>
    </row>
    <row r="125" spans="1:6" s="221" customFormat="1" x14ac:dyDescent="0.25">
      <c r="A125" s="226">
        <v>18270</v>
      </c>
      <c r="B125" s="230" t="s">
        <v>1896</v>
      </c>
      <c r="C125" s="228"/>
      <c r="D125" s="241">
        <v>55</v>
      </c>
      <c r="E125" s="226" t="s">
        <v>1047</v>
      </c>
      <c r="F125" s="234">
        <f t="shared" si="1"/>
        <v>0</v>
      </c>
    </row>
    <row r="126" spans="1:6" s="221" customFormat="1" x14ac:dyDescent="0.25">
      <c r="A126" s="226">
        <v>18290</v>
      </c>
      <c r="B126" s="230" t="s">
        <v>847</v>
      </c>
      <c r="C126" s="228"/>
      <c r="D126" s="241">
        <v>12.04</v>
      </c>
      <c r="E126" s="226" t="s">
        <v>1047</v>
      </c>
      <c r="F126" s="234">
        <f t="shared" si="1"/>
        <v>0</v>
      </c>
    </row>
    <row r="127" spans="1:6" s="221" customFormat="1" x14ac:dyDescent="0.25">
      <c r="A127" s="226">
        <v>18300</v>
      </c>
      <c r="B127" s="230" t="s">
        <v>848</v>
      </c>
      <c r="C127" s="228"/>
      <c r="D127" s="241">
        <v>14.57</v>
      </c>
      <c r="E127" s="226" t="s">
        <v>1047</v>
      </c>
      <c r="F127" s="234">
        <f t="shared" si="1"/>
        <v>0</v>
      </c>
    </row>
    <row r="128" spans="1:6" s="221" customFormat="1" x14ac:dyDescent="0.25">
      <c r="A128" s="226">
        <v>18310</v>
      </c>
      <c r="B128" s="230" t="s">
        <v>853</v>
      </c>
      <c r="C128" s="228"/>
      <c r="D128" s="241">
        <v>15.26</v>
      </c>
      <c r="E128" s="226" t="s">
        <v>1047</v>
      </c>
      <c r="F128" s="234">
        <f t="shared" si="1"/>
        <v>0</v>
      </c>
    </row>
    <row r="129" spans="1:6" s="221" customFormat="1" x14ac:dyDescent="0.25">
      <c r="A129" s="226">
        <v>18320</v>
      </c>
      <c r="B129" s="230" t="s">
        <v>854</v>
      </c>
      <c r="C129" s="228"/>
      <c r="D129" s="241">
        <v>17.7</v>
      </c>
      <c r="E129" s="226" t="s">
        <v>1047</v>
      </c>
      <c r="F129" s="234">
        <f t="shared" ref="F129:F192" si="2">C129*D129</f>
        <v>0</v>
      </c>
    </row>
    <row r="130" spans="1:6" s="221" customFormat="1" x14ac:dyDescent="0.25">
      <c r="A130" s="226">
        <v>18330</v>
      </c>
      <c r="B130" s="230" t="s">
        <v>855</v>
      </c>
      <c r="C130" s="228"/>
      <c r="D130" s="241">
        <v>18.95</v>
      </c>
      <c r="E130" s="226" t="s">
        <v>1047</v>
      </c>
      <c r="F130" s="234">
        <f t="shared" si="2"/>
        <v>0</v>
      </c>
    </row>
    <row r="131" spans="1:6" s="221" customFormat="1" x14ac:dyDescent="0.25">
      <c r="A131" s="226">
        <v>18340</v>
      </c>
      <c r="B131" s="230" t="s">
        <v>856</v>
      </c>
      <c r="C131" s="228"/>
      <c r="D131" s="241">
        <v>19.899999999999999</v>
      </c>
      <c r="E131" s="226" t="s">
        <v>1047</v>
      </c>
      <c r="F131" s="234">
        <f t="shared" si="2"/>
        <v>0</v>
      </c>
    </row>
    <row r="132" spans="1:6" s="221" customFormat="1" x14ac:dyDescent="0.25">
      <c r="A132" s="226">
        <v>18370</v>
      </c>
      <c r="B132" s="230" t="s">
        <v>859</v>
      </c>
      <c r="C132" s="228"/>
      <c r="D132" s="241">
        <v>29.73</v>
      </c>
      <c r="E132" s="226" t="s">
        <v>1047</v>
      </c>
      <c r="F132" s="234">
        <f t="shared" si="2"/>
        <v>0</v>
      </c>
    </row>
    <row r="133" spans="1:6" s="221" customFormat="1" x14ac:dyDescent="0.25">
      <c r="A133" s="226">
        <v>18380</v>
      </c>
      <c r="B133" s="230" t="s">
        <v>1746</v>
      </c>
      <c r="C133" s="228"/>
      <c r="D133" s="241">
        <v>31.9</v>
      </c>
      <c r="E133" s="226" t="s">
        <v>1047</v>
      </c>
      <c r="F133" s="234">
        <f t="shared" si="2"/>
        <v>0</v>
      </c>
    </row>
    <row r="134" spans="1:6" s="221" customFormat="1" x14ac:dyDescent="0.25">
      <c r="A134" s="226">
        <v>18400</v>
      </c>
      <c r="B134" s="230" t="s">
        <v>861</v>
      </c>
      <c r="C134" s="228"/>
      <c r="D134" s="241">
        <v>41.22</v>
      </c>
      <c r="E134" s="226" t="s">
        <v>1047</v>
      </c>
      <c r="F134" s="234">
        <f t="shared" si="2"/>
        <v>0</v>
      </c>
    </row>
    <row r="135" spans="1:6" s="221" customFormat="1" x14ac:dyDescent="0.25">
      <c r="A135" s="226">
        <v>18410</v>
      </c>
      <c r="B135" s="230" t="s">
        <v>862</v>
      </c>
      <c r="C135" s="228"/>
      <c r="D135" s="241">
        <v>35.270000000000003</v>
      </c>
      <c r="E135" s="226" t="s">
        <v>1047</v>
      </c>
      <c r="F135" s="234">
        <f t="shared" si="2"/>
        <v>0</v>
      </c>
    </row>
    <row r="136" spans="1:6" s="221" customFormat="1" x14ac:dyDescent="0.25">
      <c r="A136" s="226">
        <v>18420</v>
      </c>
      <c r="B136" s="230" t="s">
        <v>863</v>
      </c>
      <c r="C136" s="229"/>
      <c r="D136" s="241">
        <v>53.94</v>
      </c>
      <c r="E136" s="226" t="s">
        <v>1047</v>
      </c>
      <c r="F136" s="234">
        <f t="shared" si="2"/>
        <v>0</v>
      </c>
    </row>
    <row r="137" spans="1:6" s="221" customFormat="1" x14ac:dyDescent="0.25">
      <c r="A137" s="226">
        <v>18430</v>
      </c>
      <c r="B137" s="230" t="s">
        <v>864</v>
      </c>
      <c r="C137" s="229"/>
      <c r="D137" s="241">
        <v>43.13</v>
      </c>
      <c r="E137" s="226" t="s">
        <v>1047</v>
      </c>
      <c r="F137" s="234">
        <f t="shared" si="2"/>
        <v>0</v>
      </c>
    </row>
    <row r="138" spans="1:6" s="221" customFormat="1" x14ac:dyDescent="0.25">
      <c r="A138" s="226">
        <v>18450</v>
      </c>
      <c r="B138" s="230" t="s">
        <v>370</v>
      </c>
      <c r="C138" s="229"/>
      <c r="D138" s="241">
        <v>40.619999999999997</v>
      </c>
      <c r="E138" s="226" t="s">
        <v>1047</v>
      </c>
      <c r="F138" s="234">
        <f t="shared" si="2"/>
        <v>0</v>
      </c>
    </row>
    <row r="139" spans="1:6" s="221" customFormat="1" x14ac:dyDescent="0.25">
      <c r="A139" s="226">
        <v>18460</v>
      </c>
      <c r="B139" s="226" t="s">
        <v>1406</v>
      </c>
      <c r="C139" s="228"/>
      <c r="D139" s="241">
        <v>53.98</v>
      </c>
      <c r="E139" s="226" t="s">
        <v>1047</v>
      </c>
      <c r="F139" s="234">
        <f t="shared" si="2"/>
        <v>0</v>
      </c>
    </row>
    <row r="140" spans="1:6" s="221" customFormat="1" x14ac:dyDescent="0.25">
      <c r="A140" s="226">
        <v>18480</v>
      </c>
      <c r="B140" s="226" t="s">
        <v>1419</v>
      </c>
      <c r="C140" s="228"/>
      <c r="D140" s="241">
        <v>52.44</v>
      </c>
      <c r="E140" s="226" t="s">
        <v>1047</v>
      </c>
      <c r="F140" s="234">
        <f t="shared" si="2"/>
        <v>0</v>
      </c>
    </row>
    <row r="141" spans="1:6" s="221" customFormat="1" x14ac:dyDescent="0.25">
      <c r="A141" s="226">
        <v>18490</v>
      </c>
      <c r="B141" s="230" t="s">
        <v>372</v>
      </c>
      <c r="C141" s="229"/>
      <c r="D141" s="241">
        <v>54.05</v>
      </c>
      <c r="E141" s="226" t="s">
        <v>1047</v>
      </c>
      <c r="F141" s="234">
        <f t="shared" si="2"/>
        <v>0</v>
      </c>
    </row>
    <row r="142" spans="1:6" s="221" customFormat="1" x14ac:dyDescent="0.25">
      <c r="A142" s="226">
        <v>18500</v>
      </c>
      <c r="B142" s="226" t="s">
        <v>1428</v>
      </c>
      <c r="C142" s="229"/>
      <c r="D142" s="241">
        <v>66.62</v>
      </c>
      <c r="E142" s="226" t="s">
        <v>1047</v>
      </c>
      <c r="F142" s="234">
        <f t="shared" si="2"/>
        <v>0</v>
      </c>
    </row>
    <row r="143" spans="1:6" s="221" customFormat="1" x14ac:dyDescent="0.25">
      <c r="A143" s="226">
        <v>18510</v>
      </c>
      <c r="B143" s="230" t="s">
        <v>601</v>
      </c>
      <c r="C143" s="228"/>
      <c r="D143" s="241">
        <v>71.510000000000005</v>
      </c>
      <c r="E143" s="226" t="s">
        <v>1047</v>
      </c>
      <c r="F143" s="234">
        <f t="shared" si="2"/>
        <v>0</v>
      </c>
    </row>
    <row r="144" spans="1:6" s="221" customFormat="1" x14ac:dyDescent="0.25">
      <c r="A144" s="226">
        <v>18520</v>
      </c>
      <c r="B144" s="230" t="s">
        <v>373</v>
      </c>
      <c r="C144" s="228"/>
      <c r="D144" s="241">
        <v>79.81</v>
      </c>
      <c r="E144" s="226" t="s">
        <v>1047</v>
      </c>
      <c r="F144" s="234">
        <f t="shared" si="2"/>
        <v>0</v>
      </c>
    </row>
    <row r="145" spans="1:6" s="221" customFormat="1" x14ac:dyDescent="0.25">
      <c r="A145" s="226">
        <v>18530</v>
      </c>
      <c r="B145" s="226" t="s">
        <v>1441</v>
      </c>
      <c r="C145" s="228"/>
      <c r="D145" s="241">
        <v>89.3</v>
      </c>
      <c r="E145" s="226" t="s">
        <v>1047</v>
      </c>
      <c r="F145" s="234">
        <f t="shared" si="2"/>
        <v>0</v>
      </c>
    </row>
    <row r="146" spans="1:6" s="221" customFormat="1" x14ac:dyDescent="0.25">
      <c r="A146" s="226">
        <v>18540</v>
      </c>
      <c r="B146" s="230" t="s">
        <v>867</v>
      </c>
      <c r="C146" s="228"/>
      <c r="D146" s="241">
        <v>7</v>
      </c>
      <c r="E146" s="226" t="s">
        <v>1047</v>
      </c>
      <c r="F146" s="234">
        <f t="shared" si="2"/>
        <v>0</v>
      </c>
    </row>
    <row r="147" spans="1:6" s="221" customFormat="1" x14ac:dyDescent="0.25">
      <c r="A147" s="226">
        <v>18550</v>
      </c>
      <c r="B147" s="230" t="s">
        <v>1788</v>
      </c>
      <c r="C147" s="228"/>
      <c r="D147" s="241"/>
      <c r="E147" s="226" t="s">
        <v>1047</v>
      </c>
      <c r="F147" s="234">
        <f t="shared" si="2"/>
        <v>0</v>
      </c>
    </row>
    <row r="148" spans="1:6" s="221" customFormat="1" x14ac:dyDescent="0.25">
      <c r="A148" s="226">
        <v>18560</v>
      </c>
      <c r="B148" s="230" t="s">
        <v>381</v>
      </c>
      <c r="C148" s="228"/>
      <c r="D148" s="241"/>
      <c r="E148" s="226" t="s">
        <v>1047</v>
      </c>
      <c r="F148" s="234">
        <f t="shared" si="2"/>
        <v>0</v>
      </c>
    </row>
    <row r="149" spans="1:6" s="221" customFormat="1" x14ac:dyDescent="0.25">
      <c r="A149" s="226">
        <v>18570</v>
      </c>
      <c r="B149" s="230" t="s">
        <v>382</v>
      </c>
      <c r="C149" s="228"/>
      <c r="D149" s="241">
        <v>41.17</v>
      </c>
      <c r="E149" s="226" t="s">
        <v>1047</v>
      </c>
      <c r="F149" s="234">
        <f t="shared" si="2"/>
        <v>0</v>
      </c>
    </row>
    <row r="150" spans="1:6" s="221" customFormat="1" x14ac:dyDescent="0.25">
      <c r="A150" s="226">
        <v>18590</v>
      </c>
      <c r="B150" s="230" t="s">
        <v>602</v>
      </c>
      <c r="C150" s="228"/>
      <c r="D150" s="241">
        <v>2.75</v>
      </c>
      <c r="E150" s="226" t="s">
        <v>1047</v>
      </c>
      <c r="F150" s="234">
        <f t="shared" si="2"/>
        <v>0</v>
      </c>
    </row>
    <row r="151" spans="1:6" s="221" customFormat="1" x14ac:dyDescent="0.25">
      <c r="A151" s="226">
        <v>18600</v>
      </c>
      <c r="B151" s="237" t="s">
        <v>364</v>
      </c>
      <c r="C151" s="228"/>
      <c r="D151" s="241">
        <v>5.95</v>
      </c>
      <c r="E151" s="226" t="s">
        <v>1047</v>
      </c>
      <c r="F151" s="234">
        <f t="shared" si="2"/>
        <v>0</v>
      </c>
    </row>
    <row r="152" spans="1:6" s="221" customFormat="1" x14ac:dyDescent="0.25">
      <c r="A152" s="226">
        <v>18620</v>
      </c>
      <c r="B152" s="237" t="s">
        <v>648</v>
      </c>
      <c r="C152" s="228"/>
      <c r="D152" s="241">
        <v>3.68</v>
      </c>
      <c r="E152" s="226" t="s">
        <v>1047</v>
      </c>
      <c r="F152" s="234">
        <f t="shared" si="2"/>
        <v>0</v>
      </c>
    </row>
    <row r="153" spans="1:6" s="221" customFormat="1" x14ac:dyDescent="0.25">
      <c r="A153" s="226">
        <v>18630</v>
      </c>
      <c r="B153" s="236" t="s">
        <v>437</v>
      </c>
      <c r="C153" s="228"/>
      <c r="D153" s="241">
        <v>34.229999999999997</v>
      </c>
      <c r="E153" s="226" t="s">
        <v>1047</v>
      </c>
      <c r="F153" s="234">
        <f t="shared" si="2"/>
        <v>0</v>
      </c>
    </row>
    <row r="154" spans="1:6" s="221" customFormat="1" x14ac:dyDescent="0.25">
      <c r="A154" s="226">
        <v>18640</v>
      </c>
      <c r="B154" s="236" t="s">
        <v>438</v>
      </c>
      <c r="C154" s="228"/>
      <c r="D154" s="241">
        <v>0</v>
      </c>
      <c r="E154" s="226" t="s">
        <v>1047</v>
      </c>
      <c r="F154" s="234">
        <f t="shared" si="2"/>
        <v>0</v>
      </c>
    </row>
    <row r="155" spans="1:6" s="221" customFormat="1" x14ac:dyDescent="0.25">
      <c r="A155" s="230">
        <v>20030</v>
      </c>
      <c r="B155" s="230" t="s">
        <v>323</v>
      </c>
      <c r="C155" s="228"/>
      <c r="D155" s="226">
        <v>6</v>
      </c>
      <c r="E155" s="226" t="s">
        <v>1047</v>
      </c>
      <c r="F155" s="234">
        <f t="shared" si="2"/>
        <v>0</v>
      </c>
    </row>
    <row r="156" spans="1:6" s="221" customFormat="1" x14ac:dyDescent="0.25">
      <c r="A156" s="230">
        <v>20040</v>
      </c>
      <c r="B156" s="230" t="s">
        <v>324</v>
      </c>
      <c r="C156" s="229"/>
      <c r="D156" s="226">
        <v>5.31</v>
      </c>
      <c r="E156" s="226" t="s">
        <v>1047</v>
      </c>
      <c r="F156" s="234">
        <f t="shared" si="2"/>
        <v>0</v>
      </c>
    </row>
    <row r="157" spans="1:6" s="221" customFormat="1" x14ac:dyDescent="0.25">
      <c r="A157" s="230">
        <v>20050</v>
      </c>
      <c r="B157" s="230" t="s">
        <v>868</v>
      </c>
      <c r="C157" s="228"/>
      <c r="D157" s="226">
        <v>9.4</v>
      </c>
      <c r="E157" s="226" t="s">
        <v>1047</v>
      </c>
      <c r="F157" s="234">
        <f t="shared" si="2"/>
        <v>0</v>
      </c>
    </row>
    <row r="158" spans="1:6" s="221" customFormat="1" x14ac:dyDescent="0.25">
      <c r="A158" s="230">
        <v>20110</v>
      </c>
      <c r="B158" s="230" t="s">
        <v>609</v>
      </c>
      <c r="C158" s="228"/>
      <c r="D158" s="226">
        <v>9.4</v>
      </c>
      <c r="E158" s="226" t="s">
        <v>1047</v>
      </c>
      <c r="F158" s="234">
        <f t="shared" si="2"/>
        <v>0</v>
      </c>
    </row>
    <row r="159" spans="1:6" s="221" customFormat="1" x14ac:dyDescent="0.25">
      <c r="A159" s="230">
        <v>20170</v>
      </c>
      <c r="B159" s="230" t="s">
        <v>610</v>
      </c>
      <c r="C159" s="228"/>
      <c r="D159" s="226">
        <v>7.61</v>
      </c>
      <c r="E159" s="226" t="s">
        <v>1047</v>
      </c>
      <c r="F159" s="234">
        <f t="shared" si="2"/>
        <v>0</v>
      </c>
    </row>
    <row r="160" spans="1:6" s="221" customFormat="1" x14ac:dyDescent="0.25">
      <c r="A160" s="230">
        <v>20190</v>
      </c>
      <c r="B160" s="226" t="s">
        <v>1385</v>
      </c>
      <c r="C160" s="229"/>
      <c r="D160" s="226">
        <v>3.4</v>
      </c>
      <c r="E160" s="226" t="s">
        <v>1047</v>
      </c>
      <c r="F160" s="234">
        <f t="shared" si="2"/>
        <v>0</v>
      </c>
    </row>
    <row r="161" spans="1:6" s="221" customFormat="1" x14ac:dyDescent="0.25">
      <c r="A161" s="230">
        <v>20210</v>
      </c>
      <c r="B161" s="226" t="s">
        <v>1398</v>
      </c>
      <c r="C161" s="228"/>
      <c r="D161" s="226">
        <v>3.4</v>
      </c>
      <c r="E161" s="226" t="s">
        <v>1047</v>
      </c>
      <c r="F161" s="234">
        <f t="shared" si="2"/>
        <v>0</v>
      </c>
    </row>
    <row r="162" spans="1:6" s="221" customFormat="1" x14ac:dyDescent="0.25">
      <c r="A162" s="230">
        <v>20220</v>
      </c>
      <c r="B162" s="230" t="s">
        <v>337</v>
      </c>
      <c r="C162" s="228"/>
      <c r="D162" s="226">
        <v>4.6399999999999997</v>
      </c>
      <c r="E162" s="226" t="s">
        <v>1047</v>
      </c>
      <c r="F162" s="234">
        <f t="shared" si="2"/>
        <v>0</v>
      </c>
    </row>
    <row r="163" spans="1:6" s="221" customFormat="1" x14ac:dyDescent="0.25">
      <c r="A163" s="230">
        <v>20230</v>
      </c>
      <c r="B163" s="230" t="s">
        <v>338</v>
      </c>
      <c r="C163" s="228"/>
      <c r="D163" s="241">
        <v>5.09</v>
      </c>
      <c r="E163" s="226" t="s">
        <v>1047</v>
      </c>
      <c r="F163" s="234">
        <f t="shared" si="2"/>
        <v>0</v>
      </c>
    </row>
    <row r="164" spans="1:6" s="221" customFormat="1" x14ac:dyDescent="0.25">
      <c r="A164" s="230">
        <v>20240</v>
      </c>
      <c r="B164" s="230" t="s">
        <v>339</v>
      </c>
      <c r="C164" s="228"/>
      <c r="D164" s="241">
        <v>0.65</v>
      </c>
      <c r="E164" s="226" t="s">
        <v>1047</v>
      </c>
      <c r="F164" s="234">
        <f t="shared" si="2"/>
        <v>0</v>
      </c>
    </row>
    <row r="165" spans="1:6" s="221" customFormat="1" x14ac:dyDescent="0.25">
      <c r="A165" s="230">
        <v>20250</v>
      </c>
      <c r="B165" s="230" t="s">
        <v>870</v>
      </c>
      <c r="C165" s="228"/>
      <c r="D165" s="241">
        <v>0.93</v>
      </c>
      <c r="E165" s="226" t="s">
        <v>1047</v>
      </c>
      <c r="F165" s="234">
        <f t="shared" si="2"/>
        <v>0</v>
      </c>
    </row>
    <row r="166" spans="1:6" s="221" customFormat="1" x14ac:dyDescent="0.25">
      <c r="A166" s="230">
        <v>20260</v>
      </c>
      <c r="B166" s="230" t="s">
        <v>869</v>
      </c>
      <c r="C166" s="228"/>
      <c r="D166" s="241">
        <v>0.96</v>
      </c>
      <c r="E166" s="226" t="s">
        <v>1047</v>
      </c>
      <c r="F166" s="234">
        <f t="shared" si="2"/>
        <v>0</v>
      </c>
    </row>
    <row r="167" spans="1:6" s="221" customFormat="1" x14ac:dyDescent="0.25">
      <c r="A167" s="230">
        <v>20270</v>
      </c>
      <c r="B167" s="230" t="s">
        <v>871</v>
      </c>
      <c r="C167" s="229"/>
      <c r="D167" s="241">
        <v>1.56</v>
      </c>
      <c r="E167" s="226" t="s">
        <v>1047</v>
      </c>
      <c r="F167" s="234">
        <f t="shared" si="2"/>
        <v>0</v>
      </c>
    </row>
    <row r="168" spans="1:6" s="221" customFormat="1" x14ac:dyDescent="0.25">
      <c r="A168" s="230">
        <v>20290</v>
      </c>
      <c r="B168" s="230" t="s">
        <v>872</v>
      </c>
      <c r="C168" s="228"/>
      <c r="D168" s="241">
        <v>2.1800000000000002</v>
      </c>
      <c r="E168" s="226" t="s">
        <v>1047</v>
      </c>
      <c r="F168" s="234">
        <f t="shared" si="2"/>
        <v>0</v>
      </c>
    </row>
    <row r="169" spans="1:6" s="221" customFormat="1" x14ac:dyDescent="0.25">
      <c r="A169" s="230">
        <v>20320</v>
      </c>
      <c r="B169" s="230" t="s">
        <v>874</v>
      </c>
      <c r="C169" s="228"/>
      <c r="D169" s="241">
        <v>3.57</v>
      </c>
      <c r="E169" s="226" t="s">
        <v>1047</v>
      </c>
      <c r="F169" s="234">
        <f t="shared" si="2"/>
        <v>0</v>
      </c>
    </row>
    <row r="170" spans="1:6" s="221" customFormat="1" x14ac:dyDescent="0.25">
      <c r="A170" s="230">
        <v>20340</v>
      </c>
      <c r="B170" s="230" t="s">
        <v>876</v>
      </c>
      <c r="C170" s="228"/>
      <c r="D170" s="241"/>
      <c r="E170" s="226" t="s">
        <v>1047</v>
      </c>
      <c r="F170" s="234">
        <f t="shared" si="2"/>
        <v>0</v>
      </c>
    </row>
    <row r="171" spans="1:6" s="221" customFormat="1" x14ac:dyDescent="0.25">
      <c r="A171" s="230">
        <v>20350</v>
      </c>
      <c r="B171" s="230" t="s">
        <v>877</v>
      </c>
      <c r="C171" s="228"/>
      <c r="D171" s="241"/>
      <c r="E171" s="226" t="s">
        <v>1047</v>
      </c>
      <c r="F171" s="234">
        <f t="shared" si="2"/>
        <v>0</v>
      </c>
    </row>
    <row r="172" spans="1:6" s="221" customFormat="1" x14ac:dyDescent="0.25">
      <c r="A172" s="230">
        <v>20400</v>
      </c>
      <c r="B172" s="230" t="s">
        <v>617</v>
      </c>
      <c r="C172" s="228"/>
      <c r="D172" s="226">
        <v>2.1800000000000002</v>
      </c>
      <c r="E172" s="226" t="s">
        <v>1047</v>
      </c>
      <c r="F172" s="234">
        <f t="shared" si="2"/>
        <v>0</v>
      </c>
    </row>
    <row r="173" spans="1:6" s="221" customFormat="1" x14ac:dyDescent="0.25">
      <c r="A173" s="230">
        <v>20430</v>
      </c>
      <c r="B173" s="230" t="s">
        <v>620</v>
      </c>
      <c r="C173" s="228"/>
      <c r="D173" s="241">
        <v>3.61</v>
      </c>
      <c r="E173" s="226" t="s">
        <v>1047</v>
      </c>
      <c r="F173" s="234">
        <f t="shared" si="2"/>
        <v>0</v>
      </c>
    </row>
    <row r="174" spans="1:6" s="221" customFormat="1" x14ac:dyDescent="0.25">
      <c r="A174" s="230">
        <v>20450</v>
      </c>
      <c r="B174" s="230" t="s">
        <v>878</v>
      </c>
      <c r="C174" s="228"/>
      <c r="D174" s="241">
        <v>21.2</v>
      </c>
      <c r="E174" s="226" t="s">
        <v>1047</v>
      </c>
      <c r="F174" s="234">
        <f t="shared" si="2"/>
        <v>0</v>
      </c>
    </row>
    <row r="175" spans="1:6" s="221" customFormat="1" x14ac:dyDescent="0.25">
      <c r="A175" s="230">
        <v>20460</v>
      </c>
      <c r="B175" s="230" t="s">
        <v>879</v>
      </c>
      <c r="C175" s="228"/>
      <c r="D175" s="241">
        <v>0</v>
      </c>
      <c r="E175" s="226" t="s">
        <v>1047</v>
      </c>
      <c r="F175" s="234">
        <f t="shared" si="2"/>
        <v>0</v>
      </c>
    </row>
    <row r="176" spans="1:6" s="221" customFormat="1" x14ac:dyDescent="0.25">
      <c r="A176" s="230">
        <v>20470</v>
      </c>
      <c r="B176" s="230" t="s">
        <v>1744</v>
      </c>
      <c r="C176" s="228"/>
      <c r="D176" s="241"/>
      <c r="E176" s="226" t="s">
        <v>1047</v>
      </c>
      <c r="F176" s="234">
        <f t="shared" si="2"/>
        <v>0</v>
      </c>
    </row>
    <row r="177" spans="1:6" s="221" customFormat="1" x14ac:dyDescent="0.25">
      <c r="A177" s="230">
        <v>20490</v>
      </c>
      <c r="B177" s="230" t="s">
        <v>882</v>
      </c>
      <c r="C177" s="228"/>
      <c r="D177" s="226">
        <v>9.32</v>
      </c>
      <c r="E177" s="226" t="s">
        <v>1047</v>
      </c>
      <c r="F177" s="234">
        <f t="shared" si="2"/>
        <v>0</v>
      </c>
    </row>
    <row r="178" spans="1:6" s="221" customFormat="1" x14ac:dyDescent="0.25">
      <c r="A178" s="230">
        <v>20500</v>
      </c>
      <c r="B178" s="230" t="s">
        <v>883</v>
      </c>
      <c r="C178" s="228"/>
      <c r="D178" s="226">
        <v>10.16</v>
      </c>
      <c r="E178" s="226" t="s">
        <v>1047</v>
      </c>
      <c r="F178" s="234">
        <f t="shared" si="2"/>
        <v>0</v>
      </c>
    </row>
    <row r="179" spans="1:6" s="221" customFormat="1" x14ac:dyDescent="0.25">
      <c r="A179" s="230">
        <v>20510</v>
      </c>
      <c r="B179" s="230" t="s">
        <v>884</v>
      </c>
      <c r="C179" s="228"/>
      <c r="D179" s="226">
        <v>11.94</v>
      </c>
      <c r="E179" s="226" t="s">
        <v>1047</v>
      </c>
      <c r="F179" s="234">
        <f t="shared" si="2"/>
        <v>0</v>
      </c>
    </row>
    <row r="180" spans="1:6" s="221" customFormat="1" x14ac:dyDescent="0.25">
      <c r="A180" s="230">
        <v>20520</v>
      </c>
      <c r="B180" s="230" t="s">
        <v>885</v>
      </c>
      <c r="C180" s="228"/>
      <c r="D180" s="226">
        <v>10.38</v>
      </c>
      <c r="E180" s="226" t="s">
        <v>1047</v>
      </c>
      <c r="F180" s="234">
        <f t="shared" si="2"/>
        <v>0</v>
      </c>
    </row>
    <row r="181" spans="1:6" s="221" customFormat="1" x14ac:dyDescent="0.25">
      <c r="A181" s="230">
        <v>20530</v>
      </c>
      <c r="B181" s="226" t="s">
        <v>1453</v>
      </c>
      <c r="C181" s="228"/>
      <c r="D181" s="241">
        <v>0</v>
      </c>
      <c r="E181" s="226" t="s">
        <v>1047</v>
      </c>
      <c r="F181" s="234">
        <f t="shared" si="2"/>
        <v>0</v>
      </c>
    </row>
    <row r="182" spans="1:6" s="221" customFormat="1" x14ac:dyDescent="0.25">
      <c r="A182" s="230">
        <v>20540</v>
      </c>
      <c r="B182" s="226" t="s">
        <v>1465</v>
      </c>
      <c r="C182" s="228"/>
      <c r="D182" s="241">
        <v>0</v>
      </c>
      <c r="E182" s="226" t="s">
        <v>1047</v>
      </c>
      <c r="F182" s="234">
        <f t="shared" si="2"/>
        <v>0</v>
      </c>
    </row>
    <row r="183" spans="1:6" s="221" customFormat="1" x14ac:dyDescent="0.25">
      <c r="A183" s="230">
        <v>20550</v>
      </c>
      <c r="B183" s="226" t="s">
        <v>1748</v>
      </c>
      <c r="C183" s="228"/>
      <c r="D183" s="241">
        <v>0</v>
      </c>
      <c r="E183" s="226" t="s">
        <v>1047</v>
      </c>
      <c r="F183" s="234">
        <f t="shared" si="2"/>
        <v>0</v>
      </c>
    </row>
    <row r="184" spans="1:6" s="221" customFormat="1" x14ac:dyDescent="0.25">
      <c r="A184" s="230">
        <v>20560</v>
      </c>
      <c r="B184" s="226" t="s">
        <v>1749</v>
      </c>
      <c r="C184" s="228"/>
      <c r="D184" s="241">
        <v>0</v>
      </c>
      <c r="E184" s="226" t="s">
        <v>1047</v>
      </c>
      <c r="F184" s="234">
        <f t="shared" si="2"/>
        <v>0</v>
      </c>
    </row>
    <row r="185" spans="1:6" s="221" customFormat="1" x14ac:dyDescent="0.25">
      <c r="A185" s="230">
        <v>20570</v>
      </c>
      <c r="B185" s="226" t="s">
        <v>1380</v>
      </c>
      <c r="C185" s="228"/>
      <c r="D185" s="241">
        <v>0</v>
      </c>
      <c r="E185" s="226" t="s">
        <v>1047</v>
      </c>
      <c r="F185" s="234">
        <f t="shared" si="2"/>
        <v>0</v>
      </c>
    </row>
    <row r="186" spans="1:6" s="221" customFormat="1" x14ac:dyDescent="0.25">
      <c r="A186" s="230">
        <v>20580</v>
      </c>
      <c r="B186" s="226" t="s">
        <v>1392</v>
      </c>
      <c r="C186" s="228"/>
      <c r="D186" s="241">
        <v>0</v>
      </c>
      <c r="E186" s="226" t="s">
        <v>1047</v>
      </c>
      <c r="F186" s="234">
        <f t="shared" si="2"/>
        <v>0</v>
      </c>
    </row>
    <row r="187" spans="1:6" s="221" customFormat="1" x14ac:dyDescent="0.25">
      <c r="A187" s="230">
        <v>20590</v>
      </c>
      <c r="B187" s="230" t="s">
        <v>340</v>
      </c>
      <c r="C187" s="228"/>
      <c r="D187" s="241">
        <v>10.26</v>
      </c>
      <c r="E187" s="226" t="s">
        <v>1047</v>
      </c>
      <c r="F187" s="234">
        <f t="shared" si="2"/>
        <v>0</v>
      </c>
    </row>
    <row r="188" spans="1:6" s="221" customFormat="1" x14ac:dyDescent="0.25">
      <c r="A188" s="230">
        <v>20600</v>
      </c>
      <c r="B188" s="230" t="s">
        <v>341</v>
      </c>
      <c r="C188" s="228"/>
      <c r="D188" s="241">
        <v>9.8800000000000008</v>
      </c>
      <c r="E188" s="226" t="s">
        <v>1047</v>
      </c>
      <c r="F188" s="234">
        <f t="shared" si="2"/>
        <v>0</v>
      </c>
    </row>
    <row r="189" spans="1:6" s="221" customFormat="1" x14ac:dyDescent="0.25">
      <c r="A189" s="230">
        <v>20610</v>
      </c>
      <c r="B189" s="230" t="s">
        <v>622</v>
      </c>
      <c r="C189" s="228"/>
      <c r="D189" s="241">
        <v>12.92</v>
      </c>
      <c r="E189" s="226" t="s">
        <v>1047</v>
      </c>
      <c r="F189" s="234">
        <f t="shared" si="2"/>
        <v>0</v>
      </c>
    </row>
    <row r="190" spans="1:6" s="221" customFormat="1" x14ac:dyDescent="0.25">
      <c r="A190" s="230">
        <v>20620</v>
      </c>
      <c r="B190" s="230" t="s">
        <v>342</v>
      </c>
      <c r="C190" s="228"/>
      <c r="D190" s="241">
        <v>10.97</v>
      </c>
      <c r="E190" s="226" t="s">
        <v>1047</v>
      </c>
      <c r="F190" s="234">
        <f t="shared" si="2"/>
        <v>0</v>
      </c>
    </row>
    <row r="191" spans="1:6" s="221" customFormat="1" x14ac:dyDescent="0.25">
      <c r="A191" s="230">
        <v>20630</v>
      </c>
      <c r="B191" s="230" t="s">
        <v>343</v>
      </c>
      <c r="C191" s="228"/>
      <c r="D191" s="241">
        <v>11.26</v>
      </c>
      <c r="E191" s="226" t="s">
        <v>1047</v>
      </c>
      <c r="F191" s="234">
        <f t="shared" si="2"/>
        <v>0</v>
      </c>
    </row>
    <row r="192" spans="1:6" s="221" customFormat="1" x14ac:dyDescent="0.25">
      <c r="A192" s="230">
        <v>20640</v>
      </c>
      <c r="B192" s="230" t="s">
        <v>344</v>
      </c>
      <c r="C192" s="228"/>
      <c r="D192" s="241">
        <v>16.47</v>
      </c>
      <c r="E192" s="226" t="s">
        <v>1047</v>
      </c>
      <c r="F192" s="234">
        <f t="shared" si="2"/>
        <v>0</v>
      </c>
    </row>
    <row r="193" spans="1:6" s="221" customFormat="1" x14ac:dyDescent="0.25">
      <c r="A193" s="230">
        <v>20660</v>
      </c>
      <c r="B193" s="230" t="s">
        <v>1474</v>
      </c>
      <c r="C193" s="228"/>
      <c r="D193" s="241">
        <v>0</v>
      </c>
      <c r="E193" s="226" t="s">
        <v>1047</v>
      </c>
      <c r="F193" s="234">
        <f t="shared" ref="F193:F256" si="3">C193*D193</f>
        <v>0</v>
      </c>
    </row>
    <row r="194" spans="1:6" s="221" customFormat="1" x14ac:dyDescent="0.25">
      <c r="A194" s="230">
        <v>20670</v>
      </c>
      <c r="B194" s="230" t="s">
        <v>623</v>
      </c>
      <c r="C194" s="228"/>
      <c r="D194" s="241">
        <v>14.5</v>
      </c>
      <c r="E194" s="226" t="s">
        <v>1047</v>
      </c>
      <c r="F194" s="234">
        <f t="shared" si="3"/>
        <v>0</v>
      </c>
    </row>
    <row r="195" spans="1:6" s="221" customFormat="1" x14ac:dyDescent="0.25">
      <c r="A195" s="230">
        <v>20680</v>
      </c>
      <c r="B195" s="230" t="s">
        <v>346</v>
      </c>
      <c r="C195" s="228"/>
      <c r="D195" s="226">
        <v>14.25</v>
      </c>
      <c r="E195" s="226" t="s">
        <v>1047</v>
      </c>
      <c r="F195" s="234">
        <f t="shared" si="3"/>
        <v>0</v>
      </c>
    </row>
    <row r="196" spans="1:6" s="221" customFormat="1" x14ac:dyDescent="0.25">
      <c r="A196" s="230">
        <v>20690</v>
      </c>
      <c r="B196" s="230" t="s">
        <v>624</v>
      </c>
      <c r="C196" s="228"/>
      <c r="D196" s="226">
        <v>17.09</v>
      </c>
      <c r="E196" s="226" t="s">
        <v>1047</v>
      </c>
      <c r="F196" s="234">
        <f t="shared" si="3"/>
        <v>0</v>
      </c>
    </row>
    <row r="197" spans="1:6" s="221" customFormat="1" x14ac:dyDescent="0.25">
      <c r="A197" s="230">
        <v>20710</v>
      </c>
      <c r="B197" s="230" t="s">
        <v>886</v>
      </c>
      <c r="C197" s="228"/>
      <c r="D197" s="226">
        <v>23.62</v>
      </c>
      <c r="E197" s="226" t="s">
        <v>1047</v>
      </c>
      <c r="F197" s="234">
        <f t="shared" si="3"/>
        <v>0</v>
      </c>
    </row>
    <row r="198" spans="1:6" s="221" customFormat="1" x14ac:dyDescent="0.25">
      <c r="A198" s="230">
        <v>20720</v>
      </c>
      <c r="B198" s="230" t="s">
        <v>887</v>
      </c>
      <c r="C198" s="228"/>
      <c r="D198" s="241"/>
      <c r="E198" s="226" t="s">
        <v>1047</v>
      </c>
      <c r="F198" s="234">
        <f t="shared" si="3"/>
        <v>0</v>
      </c>
    </row>
    <row r="199" spans="1:6" s="221" customFormat="1" x14ac:dyDescent="0.25">
      <c r="A199" s="230">
        <v>20740</v>
      </c>
      <c r="B199" s="230" t="s">
        <v>626</v>
      </c>
      <c r="C199" s="228"/>
      <c r="D199" s="226">
        <v>2.0499999999999998</v>
      </c>
      <c r="E199" s="226" t="s">
        <v>1047</v>
      </c>
      <c r="F199" s="234">
        <f t="shared" si="3"/>
        <v>0</v>
      </c>
    </row>
    <row r="200" spans="1:6" s="221" customFormat="1" x14ac:dyDescent="0.25">
      <c r="A200" s="230">
        <v>20750</v>
      </c>
      <c r="B200" s="230" t="s">
        <v>627</v>
      </c>
      <c r="C200" s="228"/>
      <c r="D200" s="226">
        <v>3.27</v>
      </c>
      <c r="E200" s="226" t="s">
        <v>1047</v>
      </c>
      <c r="F200" s="234">
        <f t="shared" si="3"/>
        <v>0</v>
      </c>
    </row>
    <row r="201" spans="1:6" s="221" customFormat="1" x14ac:dyDescent="0.25">
      <c r="A201" s="230">
        <v>20760</v>
      </c>
      <c r="B201" s="230" t="s">
        <v>628</v>
      </c>
      <c r="C201" s="228"/>
      <c r="D201" s="226">
        <v>3.55</v>
      </c>
      <c r="E201" s="226" t="s">
        <v>1047</v>
      </c>
      <c r="F201" s="234">
        <f t="shared" si="3"/>
        <v>0</v>
      </c>
    </row>
    <row r="202" spans="1:6" s="221" customFormat="1" x14ac:dyDescent="0.25">
      <c r="A202" s="230">
        <v>20770</v>
      </c>
      <c r="B202" s="230" t="s">
        <v>629</v>
      </c>
      <c r="C202" s="228"/>
      <c r="D202" s="226">
        <v>5.75</v>
      </c>
      <c r="E202" s="226" t="s">
        <v>1047</v>
      </c>
      <c r="F202" s="234">
        <f t="shared" si="3"/>
        <v>0</v>
      </c>
    </row>
    <row r="203" spans="1:6" s="221" customFormat="1" x14ac:dyDescent="0.25">
      <c r="A203" s="230">
        <v>20790</v>
      </c>
      <c r="B203" s="230" t="s">
        <v>631</v>
      </c>
      <c r="C203" s="228"/>
      <c r="D203" s="226">
        <v>7.7</v>
      </c>
      <c r="E203" s="226" t="s">
        <v>1047</v>
      </c>
      <c r="F203" s="234">
        <f t="shared" si="3"/>
        <v>0</v>
      </c>
    </row>
    <row r="204" spans="1:6" s="221" customFormat="1" x14ac:dyDescent="0.25">
      <c r="A204" s="230">
        <v>20800</v>
      </c>
      <c r="B204" s="230" t="s">
        <v>632</v>
      </c>
      <c r="C204" s="228"/>
      <c r="D204" s="226">
        <v>10.29</v>
      </c>
      <c r="E204" s="226" t="s">
        <v>1047</v>
      </c>
      <c r="F204" s="234">
        <f t="shared" si="3"/>
        <v>0</v>
      </c>
    </row>
    <row r="205" spans="1:6" s="221" customFormat="1" x14ac:dyDescent="0.25">
      <c r="A205" s="230">
        <v>20810</v>
      </c>
      <c r="B205" s="230" t="s">
        <v>633</v>
      </c>
      <c r="C205" s="228"/>
      <c r="D205" s="226">
        <v>14.56</v>
      </c>
      <c r="E205" s="226" t="s">
        <v>1047</v>
      </c>
      <c r="F205" s="234">
        <f t="shared" si="3"/>
        <v>0</v>
      </c>
    </row>
    <row r="206" spans="1:6" s="221" customFormat="1" x14ac:dyDescent="0.25">
      <c r="A206" s="230">
        <v>20820</v>
      </c>
      <c r="B206" s="230" t="s">
        <v>348</v>
      </c>
      <c r="C206" s="228"/>
      <c r="D206" s="226">
        <v>22.97</v>
      </c>
      <c r="E206" s="226" t="s">
        <v>1047</v>
      </c>
      <c r="F206" s="234">
        <f t="shared" si="3"/>
        <v>0</v>
      </c>
    </row>
    <row r="207" spans="1:6" s="221" customFormat="1" x14ac:dyDescent="0.25">
      <c r="A207" s="230">
        <v>20830</v>
      </c>
      <c r="B207" s="230" t="s">
        <v>349</v>
      </c>
      <c r="C207" s="228"/>
      <c r="D207" s="226">
        <v>65.099999999999994</v>
      </c>
      <c r="E207" s="226" t="s">
        <v>1047</v>
      </c>
      <c r="F207" s="234">
        <f t="shared" si="3"/>
        <v>0</v>
      </c>
    </row>
    <row r="208" spans="1:6" s="221" customFormat="1" x14ac:dyDescent="0.25">
      <c r="A208" s="230">
        <v>20840</v>
      </c>
      <c r="B208" s="230" t="s">
        <v>350</v>
      </c>
      <c r="C208" s="228"/>
      <c r="D208" s="226">
        <v>1.64</v>
      </c>
      <c r="E208" s="226" t="s">
        <v>1047</v>
      </c>
      <c r="F208" s="234">
        <f t="shared" si="3"/>
        <v>0</v>
      </c>
    </row>
    <row r="209" spans="1:6" s="221" customFormat="1" x14ac:dyDescent="0.25">
      <c r="A209" s="230">
        <v>20880</v>
      </c>
      <c r="B209" s="230" t="s">
        <v>354</v>
      </c>
      <c r="C209" s="229"/>
      <c r="D209" s="226">
        <v>1.68</v>
      </c>
      <c r="E209" s="226" t="s">
        <v>1047</v>
      </c>
      <c r="F209" s="234">
        <f t="shared" si="3"/>
        <v>0</v>
      </c>
    </row>
    <row r="210" spans="1:6" s="221" customFormat="1" x14ac:dyDescent="0.25">
      <c r="A210" s="230">
        <v>20910</v>
      </c>
      <c r="B210" s="230" t="s">
        <v>357</v>
      </c>
      <c r="C210" s="228"/>
      <c r="D210" s="226">
        <v>5.16</v>
      </c>
      <c r="E210" s="226" t="s">
        <v>1047</v>
      </c>
      <c r="F210" s="234">
        <f t="shared" si="3"/>
        <v>0</v>
      </c>
    </row>
    <row r="211" spans="1:6" s="221" customFormat="1" x14ac:dyDescent="0.25">
      <c r="A211" s="230">
        <v>20920</v>
      </c>
      <c r="B211" s="230" t="s">
        <v>358</v>
      </c>
      <c r="C211" s="228"/>
      <c r="D211" s="226">
        <v>8.84</v>
      </c>
      <c r="E211" s="226" t="s">
        <v>1047</v>
      </c>
      <c r="F211" s="234">
        <f t="shared" si="3"/>
        <v>0</v>
      </c>
    </row>
    <row r="212" spans="1:6" s="221" customFormat="1" x14ac:dyDescent="0.25">
      <c r="A212" s="230">
        <v>20930</v>
      </c>
      <c r="B212" s="230" t="s">
        <v>359</v>
      </c>
      <c r="C212" s="228"/>
      <c r="D212" s="241"/>
      <c r="E212" s="226" t="s">
        <v>1047</v>
      </c>
      <c r="F212" s="234">
        <f t="shared" si="3"/>
        <v>0</v>
      </c>
    </row>
    <row r="213" spans="1:6" s="221" customFormat="1" x14ac:dyDescent="0.25">
      <c r="A213" s="230">
        <v>20940</v>
      </c>
      <c r="B213" s="230" t="s">
        <v>360</v>
      </c>
      <c r="C213" s="228"/>
      <c r="D213" s="241"/>
      <c r="E213" s="226" t="s">
        <v>1047</v>
      </c>
      <c r="F213" s="234">
        <f t="shared" si="3"/>
        <v>0</v>
      </c>
    </row>
    <row r="214" spans="1:6" s="221" customFormat="1" x14ac:dyDescent="0.25">
      <c r="A214" s="230">
        <v>20950</v>
      </c>
      <c r="B214" s="230" t="s">
        <v>889</v>
      </c>
      <c r="C214" s="228"/>
      <c r="D214" s="241"/>
      <c r="E214" s="226" t="s">
        <v>1047</v>
      </c>
      <c r="F214" s="234">
        <f t="shared" si="3"/>
        <v>0</v>
      </c>
    </row>
    <row r="215" spans="1:6" s="221" customFormat="1" x14ac:dyDescent="0.25">
      <c r="A215" s="230">
        <v>20960</v>
      </c>
      <c r="B215" s="230" t="s">
        <v>890</v>
      </c>
      <c r="C215" s="228"/>
      <c r="D215" s="226">
        <v>4.75</v>
      </c>
      <c r="E215" s="226" t="s">
        <v>1047</v>
      </c>
      <c r="F215" s="234">
        <f t="shared" si="3"/>
        <v>0</v>
      </c>
    </row>
    <row r="216" spans="1:6" s="221" customFormat="1" x14ac:dyDescent="0.25">
      <c r="A216" s="230">
        <v>20970</v>
      </c>
      <c r="B216" s="230" t="s">
        <v>891</v>
      </c>
      <c r="C216" s="228"/>
      <c r="D216" s="226">
        <v>5.45</v>
      </c>
      <c r="E216" s="226" t="s">
        <v>1047</v>
      </c>
      <c r="F216" s="234">
        <f t="shared" si="3"/>
        <v>0</v>
      </c>
    </row>
    <row r="217" spans="1:6" s="221" customFormat="1" x14ac:dyDescent="0.25">
      <c r="A217" s="230">
        <v>20980</v>
      </c>
      <c r="B217" s="230" t="s">
        <v>892</v>
      </c>
      <c r="C217" s="228"/>
      <c r="D217" s="226">
        <v>5.56</v>
      </c>
      <c r="E217" s="226" t="s">
        <v>1047</v>
      </c>
      <c r="F217" s="234">
        <f t="shared" si="3"/>
        <v>0</v>
      </c>
    </row>
    <row r="218" spans="1:6" s="221" customFormat="1" x14ac:dyDescent="0.25">
      <c r="A218" s="230">
        <v>20990</v>
      </c>
      <c r="B218" s="230" t="s">
        <v>893</v>
      </c>
      <c r="C218" s="228"/>
      <c r="D218" s="226"/>
      <c r="E218" s="226" t="s">
        <v>1047</v>
      </c>
      <c r="F218" s="234">
        <f t="shared" si="3"/>
        <v>0</v>
      </c>
    </row>
    <row r="219" spans="1:6" s="221" customFormat="1" x14ac:dyDescent="0.25">
      <c r="A219" s="230">
        <v>21000</v>
      </c>
      <c r="B219" s="230" t="s">
        <v>894</v>
      </c>
      <c r="C219" s="228"/>
      <c r="D219" s="226">
        <v>8.9</v>
      </c>
      <c r="E219" s="226" t="s">
        <v>1047</v>
      </c>
      <c r="F219" s="234">
        <f t="shared" si="3"/>
        <v>0</v>
      </c>
    </row>
    <row r="220" spans="1:6" s="221" customFormat="1" x14ac:dyDescent="0.25">
      <c r="A220" s="230">
        <v>21010</v>
      </c>
      <c r="B220" s="230" t="s">
        <v>895</v>
      </c>
      <c r="C220" s="228"/>
      <c r="D220" s="226">
        <v>9.51</v>
      </c>
      <c r="E220" s="226" t="s">
        <v>1047</v>
      </c>
      <c r="F220" s="234">
        <f t="shared" si="3"/>
        <v>0</v>
      </c>
    </row>
    <row r="221" spans="1:6" s="221" customFormat="1" x14ac:dyDescent="0.25">
      <c r="A221" s="230">
        <v>21020</v>
      </c>
      <c r="B221" s="230" t="s">
        <v>896</v>
      </c>
      <c r="C221" s="228"/>
      <c r="D221" s="226">
        <v>7.91</v>
      </c>
      <c r="E221" s="226" t="s">
        <v>1047</v>
      </c>
      <c r="F221" s="234">
        <f t="shared" si="3"/>
        <v>0</v>
      </c>
    </row>
    <row r="222" spans="1:6" s="221" customFormat="1" x14ac:dyDescent="0.25">
      <c r="A222" s="230">
        <v>21030</v>
      </c>
      <c r="B222" s="230" t="s">
        <v>897</v>
      </c>
      <c r="C222" s="228"/>
      <c r="D222" s="226">
        <v>10.84</v>
      </c>
      <c r="E222" s="226" t="s">
        <v>1047</v>
      </c>
      <c r="F222" s="234">
        <f t="shared" si="3"/>
        <v>0</v>
      </c>
    </row>
    <row r="223" spans="1:6" s="221" customFormat="1" x14ac:dyDescent="0.25">
      <c r="A223" s="230">
        <v>21040</v>
      </c>
      <c r="B223" s="230" t="s">
        <v>898</v>
      </c>
      <c r="C223" s="228"/>
      <c r="D223" s="226">
        <v>11.27</v>
      </c>
      <c r="E223" s="226" t="s">
        <v>1047</v>
      </c>
      <c r="F223" s="234">
        <f t="shared" si="3"/>
        <v>0</v>
      </c>
    </row>
    <row r="224" spans="1:6" s="221" customFormat="1" x14ac:dyDescent="0.25">
      <c r="A224" s="230">
        <v>21050</v>
      </c>
      <c r="B224" s="230" t="s">
        <v>900</v>
      </c>
      <c r="C224" s="228"/>
      <c r="D224" s="226">
        <v>4.17</v>
      </c>
      <c r="E224" s="226" t="s">
        <v>1047</v>
      </c>
      <c r="F224" s="234">
        <f t="shared" si="3"/>
        <v>0</v>
      </c>
    </row>
    <row r="225" spans="1:6" s="221" customFormat="1" x14ac:dyDescent="0.25">
      <c r="A225" s="230">
        <v>21060</v>
      </c>
      <c r="B225" s="230" t="s">
        <v>899</v>
      </c>
      <c r="C225" s="228"/>
      <c r="D225" s="226">
        <v>5.17</v>
      </c>
      <c r="E225" s="226" t="s">
        <v>1047</v>
      </c>
      <c r="F225" s="234">
        <f t="shared" si="3"/>
        <v>0</v>
      </c>
    </row>
    <row r="226" spans="1:6" s="221" customFormat="1" x14ac:dyDescent="0.25">
      <c r="A226" s="230">
        <v>21070</v>
      </c>
      <c r="B226" s="230" t="s">
        <v>901</v>
      </c>
      <c r="C226" s="228"/>
      <c r="D226" s="226">
        <v>4.74</v>
      </c>
      <c r="E226" s="226" t="s">
        <v>1047</v>
      </c>
      <c r="F226" s="234">
        <f t="shared" si="3"/>
        <v>0</v>
      </c>
    </row>
    <row r="227" spans="1:6" s="221" customFormat="1" x14ac:dyDescent="0.25">
      <c r="A227" s="230">
        <v>21080</v>
      </c>
      <c r="B227" s="230" t="s">
        <v>634</v>
      </c>
      <c r="C227" s="228"/>
      <c r="D227" s="226">
        <v>4.74</v>
      </c>
      <c r="E227" s="226" t="s">
        <v>1047</v>
      </c>
      <c r="F227" s="234">
        <f t="shared" si="3"/>
        <v>0</v>
      </c>
    </row>
    <row r="228" spans="1:6" s="221" customFormat="1" x14ac:dyDescent="0.25">
      <c r="A228" s="230">
        <v>21090</v>
      </c>
      <c r="B228" s="230" t="s">
        <v>635</v>
      </c>
      <c r="C228" s="228"/>
      <c r="D228" s="226"/>
      <c r="E228" s="226" t="s">
        <v>1047</v>
      </c>
      <c r="F228" s="234">
        <f t="shared" si="3"/>
        <v>0</v>
      </c>
    </row>
    <row r="229" spans="1:6" s="221" customFormat="1" x14ac:dyDescent="0.25">
      <c r="A229" s="230">
        <v>21100</v>
      </c>
      <c r="B229" s="230" t="s">
        <v>636</v>
      </c>
      <c r="C229" s="228"/>
      <c r="D229" s="226">
        <v>5.39</v>
      </c>
      <c r="E229" s="226" t="s">
        <v>1047</v>
      </c>
      <c r="F229" s="234">
        <f t="shared" si="3"/>
        <v>0</v>
      </c>
    </row>
    <row r="230" spans="1:6" s="221" customFormat="1" x14ac:dyDescent="0.25">
      <c r="A230" s="230">
        <v>21110</v>
      </c>
      <c r="B230" s="230" t="s">
        <v>637</v>
      </c>
      <c r="C230" s="229"/>
      <c r="D230" s="241">
        <v>0</v>
      </c>
      <c r="E230" s="226" t="s">
        <v>1047</v>
      </c>
      <c r="F230" s="234">
        <f t="shared" si="3"/>
        <v>0</v>
      </c>
    </row>
    <row r="231" spans="1:6" s="221" customFormat="1" x14ac:dyDescent="0.25">
      <c r="A231" s="230">
        <v>21120</v>
      </c>
      <c r="B231" s="230" t="s">
        <v>902</v>
      </c>
      <c r="C231" s="228"/>
      <c r="D231" s="226">
        <v>5.0999999999999996</v>
      </c>
      <c r="E231" s="226" t="s">
        <v>1047</v>
      </c>
      <c r="F231" s="234">
        <f t="shared" si="3"/>
        <v>0</v>
      </c>
    </row>
    <row r="232" spans="1:6" s="221" customFormat="1" x14ac:dyDescent="0.25">
      <c r="A232" s="230">
        <v>21130</v>
      </c>
      <c r="B232" s="230" t="s">
        <v>638</v>
      </c>
      <c r="C232" s="228"/>
      <c r="D232" s="226">
        <v>5.39</v>
      </c>
      <c r="E232" s="226" t="s">
        <v>1047</v>
      </c>
      <c r="F232" s="234">
        <f t="shared" si="3"/>
        <v>0</v>
      </c>
    </row>
    <row r="233" spans="1:6" s="221" customFormat="1" x14ac:dyDescent="0.25">
      <c r="A233" s="230">
        <v>21140</v>
      </c>
      <c r="B233" s="230" t="s">
        <v>639</v>
      </c>
      <c r="C233" s="228"/>
      <c r="D233" s="226">
        <v>7.78</v>
      </c>
      <c r="E233" s="226" t="s">
        <v>1047</v>
      </c>
      <c r="F233" s="234">
        <f t="shared" si="3"/>
        <v>0</v>
      </c>
    </row>
    <row r="234" spans="1:6" s="221" customFormat="1" x14ac:dyDescent="0.25">
      <c r="A234" s="230">
        <v>21150</v>
      </c>
      <c r="B234" s="230" t="s">
        <v>640</v>
      </c>
      <c r="C234" s="228"/>
      <c r="D234" s="226">
        <v>6.56</v>
      </c>
      <c r="E234" s="226" t="s">
        <v>1047</v>
      </c>
      <c r="F234" s="234">
        <f t="shared" si="3"/>
        <v>0</v>
      </c>
    </row>
    <row r="235" spans="1:6" s="221" customFormat="1" x14ac:dyDescent="0.25">
      <c r="A235" s="230">
        <v>21160</v>
      </c>
      <c r="B235" s="230" t="s">
        <v>641</v>
      </c>
      <c r="C235" s="228"/>
      <c r="D235" s="226">
        <v>8.52</v>
      </c>
      <c r="E235" s="226" t="s">
        <v>1047</v>
      </c>
      <c r="F235" s="234">
        <f t="shared" si="3"/>
        <v>0</v>
      </c>
    </row>
    <row r="236" spans="1:6" s="221" customFormat="1" x14ac:dyDescent="0.25">
      <c r="A236" s="230">
        <v>21170</v>
      </c>
      <c r="B236" s="230" t="s">
        <v>642</v>
      </c>
      <c r="C236" s="228"/>
      <c r="D236" s="226">
        <v>7.97</v>
      </c>
      <c r="E236" s="226" t="s">
        <v>1047</v>
      </c>
      <c r="F236" s="234">
        <f t="shared" si="3"/>
        <v>0</v>
      </c>
    </row>
    <row r="237" spans="1:6" s="221" customFormat="1" x14ac:dyDescent="0.25">
      <c r="A237" s="230">
        <v>21180</v>
      </c>
      <c r="B237" s="230" t="s">
        <v>903</v>
      </c>
      <c r="C237" s="228"/>
      <c r="D237" s="226">
        <v>12.34</v>
      </c>
      <c r="E237" s="226" t="s">
        <v>1047</v>
      </c>
      <c r="F237" s="234">
        <f t="shared" si="3"/>
        <v>0</v>
      </c>
    </row>
    <row r="238" spans="1:6" s="221" customFormat="1" x14ac:dyDescent="0.25">
      <c r="A238" s="230">
        <v>21190</v>
      </c>
      <c r="B238" s="230" t="s">
        <v>904</v>
      </c>
      <c r="C238" s="228"/>
      <c r="D238" s="226">
        <v>10.39</v>
      </c>
      <c r="E238" s="226" t="s">
        <v>1047</v>
      </c>
      <c r="F238" s="234">
        <f t="shared" si="3"/>
        <v>0</v>
      </c>
    </row>
    <row r="239" spans="1:6" s="221" customFormat="1" x14ac:dyDescent="0.25">
      <c r="A239" s="230">
        <v>21200</v>
      </c>
      <c r="B239" s="230" t="s">
        <v>643</v>
      </c>
      <c r="C239" s="228"/>
      <c r="D239" s="226">
        <v>12.52</v>
      </c>
      <c r="E239" s="226" t="s">
        <v>1047</v>
      </c>
      <c r="F239" s="234">
        <f t="shared" si="3"/>
        <v>0</v>
      </c>
    </row>
    <row r="240" spans="1:6" s="221" customFormat="1" x14ac:dyDescent="0.25">
      <c r="A240" s="230">
        <v>21210</v>
      </c>
      <c r="B240" s="230" t="s">
        <v>644</v>
      </c>
      <c r="C240" s="228"/>
      <c r="D240" s="226">
        <v>5.88</v>
      </c>
      <c r="E240" s="226" t="s">
        <v>1047</v>
      </c>
      <c r="F240" s="234">
        <f t="shared" si="3"/>
        <v>0</v>
      </c>
    </row>
    <row r="241" spans="1:6" s="221" customFormat="1" x14ac:dyDescent="0.25">
      <c r="A241" s="230">
        <v>21220</v>
      </c>
      <c r="B241" s="230" t="s">
        <v>645</v>
      </c>
      <c r="C241" s="228"/>
      <c r="D241" s="226">
        <v>6.25</v>
      </c>
      <c r="E241" s="226" t="s">
        <v>1047</v>
      </c>
      <c r="F241" s="234">
        <f t="shared" si="3"/>
        <v>0</v>
      </c>
    </row>
    <row r="242" spans="1:6" s="221" customFormat="1" x14ac:dyDescent="0.25">
      <c r="A242" s="230">
        <v>21230</v>
      </c>
      <c r="B242" s="230" t="s">
        <v>905</v>
      </c>
      <c r="C242" s="228"/>
      <c r="D242" s="241">
        <v>7.09</v>
      </c>
      <c r="E242" s="226" t="s">
        <v>1047</v>
      </c>
      <c r="F242" s="234">
        <f t="shared" si="3"/>
        <v>0</v>
      </c>
    </row>
    <row r="243" spans="1:6" s="221" customFormat="1" x14ac:dyDescent="0.25">
      <c r="A243" s="230">
        <v>21240</v>
      </c>
      <c r="B243" s="230" t="s">
        <v>906</v>
      </c>
      <c r="C243" s="228"/>
      <c r="D243" s="226">
        <v>7.09</v>
      </c>
      <c r="E243" s="226" t="s">
        <v>1047</v>
      </c>
      <c r="F243" s="234">
        <f t="shared" si="3"/>
        <v>0</v>
      </c>
    </row>
    <row r="244" spans="1:6" s="221" customFormat="1" x14ac:dyDescent="0.25">
      <c r="A244" s="230">
        <v>21250</v>
      </c>
      <c r="B244" s="230" t="s">
        <v>1016</v>
      </c>
      <c r="C244" s="228"/>
      <c r="D244" s="226"/>
      <c r="E244" s="226" t="s">
        <v>1047</v>
      </c>
      <c r="F244" s="234">
        <f t="shared" si="3"/>
        <v>0</v>
      </c>
    </row>
    <row r="245" spans="1:6" s="221" customFormat="1" x14ac:dyDescent="0.25">
      <c r="A245" s="230">
        <v>21260</v>
      </c>
      <c r="B245" s="230" t="s">
        <v>646</v>
      </c>
      <c r="C245" s="228"/>
      <c r="D245" s="226">
        <v>8.82</v>
      </c>
      <c r="E245" s="226" t="s">
        <v>1047</v>
      </c>
      <c r="F245" s="234">
        <f t="shared" si="3"/>
        <v>0</v>
      </c>
    </row>
    <row r="246" spans="1:6" s="221" customFormat="1" x14ac:dyDescent="0.25">
      <c r="A246" s="230">
        <v>21270</v>
      </c>
      <c r="B246" s="230" t="s">
        <v>362</v>
      </c>
      <c r="C246" s="228"/>
      <c r="D246" s="226">
        <v>9.25</v>
      </c>
      <c r="E246" s="226" t="s">
        <v>1047</v>
      </c>
      <c r="F246" s="234">
        <f t="shared" si="3"/>
        <v>0</v>
      </c>
    </row>
    <row r="247" spans="1:6" s="221" customFormat="1" x14ac:dyDescent="0.25">
      <c r="A247" s="230">
        <v>21280</v>
      </c>
      <c r="B247" s="237" t="s">
        <v>363</v>
      </c>
      <c r="C247" s="228"/>
      <c r="D247" s="226">
        <v>12.84</v>
      </c>
      <c r="E247" s="226" t="s">
        <v>1047</v>
      </c>
      <c r="F247" s="234">
        <f t="shared" si="3"/>
        <v>0</v>
      </c>
    </row>
    <row r="248" spans="1:6" s="221" customFormat="1" x14ac:dyDescent="0.25">
      <c r="A248" s="230">
        <v>21290</v>
      </c>
      <c r="B248" s="237" t="s">
        <v>649</v>
      </c>
      <c r="C248" s="229"/>
      <c r="D248" s="241">
        <v>34.340000000000003</v>
      </c>
      <c r="E248" s="226" t="s">
        <v>1047</v>
      </c>
      <c r="F248" s="234">
        <f t="shared" si="3"/>
        <v>0</v>
      </c>
    </row>
    <row r="249" spans="1:6" s="221" customFormat="1" x14ac:dyDescent="0.25">
      <c r="A249" s="230">
        <v>21300</v>
      </c>
      <c r="B249" s="237" t="s">
        <v>909</v>
      </c>
      <c r="C249" s="228"/>
      <c r="D249" s="241">
        <v>5.01</v>
      </c>
      <c r="E249" s="226" t="s">
        <v>1047</v>
      </c>
      <c r="F249" s="234">
        <f t="shared" si="3"/>
        <v>0</v>
      </c>
    </row>
    <row r="250" spans="1:6" s="221" customFormat="1" x14ac:dyDescent="0.25">
      <c r="A250" s="230">
        <v>23010</v>
      </c>
      <c r="B250" s="236" t="s">
        <v>384</v>
      </c>
      <c r="C250" s="229"/>
      <c r="D250" s="226">
        <v>7.47</v>
      </c>
      <c r="E250" s="226" t="s">
        <v>1047</v>
      </c>
      <c r="F250" s="234">
        <f t="shared" si="3"/>
        <v>0</v>
      </c>
    </row>
    <row r="251" spans="1:6" s="221" customFormat="1" x14ac:dyDescent="0.25">
      <c r="A251" s="230">
        <v>23020</v>
      </c>
      <c r="B251" s="236" t="s">
        <v>385</v>
      </c>
      <c r="C251" s="228"/>
      <c r="D251" s="226">
        <v>9.8800000000000008</v>
      </c>
      <c r="E251" s="226" t="s">
        <v>1047</v>
      </c>
      <c r="F251" s="234">
        <f t="shared" si="3"/>
        <v>0</v>
      </c>
    </row>
    <row r="252" spans="1:6" s="221" customFormat="1" x14ac:dyDescent="0.25">
      <c r="A252" s="230">
        <v>23030</v>
      </c>
      <c r="B252" s="236" t="s">
        <v>386</v>
      </c>
      <c r="C252" s="229"/>
      <c r="D252" s="226">
        <v>11.88</v>
      </c>
      <c r="E252" s="226" t="s">
        <v>1047</v>
      </c>
      <c r="F252" s="234">
        <f t="shared" si="3"/>
        <v>0</v>
      </c>
    </row>
    <row r="253" spans="1:6" s="221" customFormat="1" x14ac:dyDescent="0.25">
      <c r="A253" s="230">
        <v>23040</v>
      </c>
      <c r="B253" s="236" t="s">
        <v>387</v>
      </c>
      <c r="C253" s="228"/>
      <c r="D253" s="241">
        <v>14.7</v>
      </c>
      <c r="E253" s="226" t="s">
        <v>1047</v>
      </c>
      <c r="F253" s="234">
        <f t="shared" si="3"/>
        <v>0</v>
      </c>
    </row>
    <row r="254" spans="1:6" s="221" customFormat="1" x14ac:dyDescent="0.25">
      <c r="A254" s="230">
        <v>23060</v>
      </c>
      <c r="B254" s="236" t="s">
        <v>389</v>
      </c>
      <c r="C254" s="228"/>
      <c r="D254" s="226">
        <v>18.78</v>
      </c>
      <c r="E254" s="226" t="s">
        <v>1047</v>
      </c>
      <c r="F254" s="234">
        <f t="shared" si="3"/>
        <v>0</v>
      </c>
    </row>
    <row r="255" spans="1:6" s="221" customFormat="1" x14ac:dyDescent="0.25">
      <c r="A255" s="230">
        <v>23070</v>
      </c>
      <c r="B255" s="236" t="s">
        <v>390</v>
      </c>
      <c r="C255" s="228"/>
      <c r="D255" s="226">
        <v>23.33</v>
      </c>
      <c r="E255" s="226" t="s">
        <v>1047</v>
      </c>
      <c r="F255" s="234">
        <f t="shared" si="3"/>
        <v>0</v>
      </c>
    </row>
    <row r="256" spans="1:6" s="221" customFormat="1" x14ac:dyDescent="0.25">
      <c r="A256" s="230">
        <v>23080</v>
      </c>
      <c r="B256" s="236" t="s">
        <v>391</v>
      </c>
      <c r="C256" s="228"/>
      <c r="D256" s="226">
        <v>48.44</v>
      </c>
      <c r="E256" s="226" t="s">
        <v>1047</v>
      </c>
      <c r="F256" s="234">
        <f t="shared" si="3"/>
        <v>0</v>
      </c>
    </row>
    <row r="257" spans="1:6" s="221" customFormat="1" x14ac:dyDescent="0.25">
      <c r="A257" s="230">
        <v>23090</v>
      </c>
      <c r="B257" s="236" t="s">
        <v>392</v>
      </c>
      <c r="C257" s="228"/>
      <c r="D257" s="241"/>
      <c r="E257" s="226" t="s">
        <v>1047</v>
      </c>
      <c r="F257" s="234">
        <f t="shared" ref="F257:F320" si="4">C257*D257</f>
        <v>0</v>
      </c>
    </row>
    <row r="258" spans="1:6" s="221" customFormat="1" x14ac:dyDescent="0.25">
      <c r="A258" s="230">
        <v>23100</v>
      </c>
      <c r="B258" s="236" t="s">
        <v>393</v>
      </c>
      <c r="C258" s="228"/>
      <c r="D258" s="241"/>
      <c r="E258" s="226" t="s">
        <v>1047</v>
      </c>
      <c r="F258" s="234">
        <f t="shared" si="4"/>
        <v>0</v>
      </c>
    </row>
    <row r="259" spans="1:6" s="221" customFormat="1" x14ac:dyDescent="0.25">
      <c r="A259" s="230">
        <v>23150</v>
      </c>
      <c r="B259" s="236" t="s">
        <v>397</v>
      </c>
      <c r="C259" s="228"/>
      <c r="D259" s="226">
        <v>34.270000000000003</v>
      </c>
      <c r="E259" s="226" t="s">
        <v>1047</v>
      </c>
      <c r="F259" s="234">
        <f t="shared" si="4"/>
        <v>0</v>
      </c>
    </row>
    <row r="260" spans="1:6" s="221" customFormat="1" x14ac:dyDescent="0.25">
      <c r="A260" s="230">
        <v>23180</v>
      </c>
      <c r="B260" s="236" t="s">
        <v>400</v>
      </c>
      <c r="C260" s="228"/>
      <c r="D260" s="226">
        <v>56.35</v>
      </c>
      <c r="E260" s="226" t="s">
        <v>1047</v>
      </c>
      <c r="F260" s="234">
        <f t="shared" si="4"/>
        <v>0</v>
      </c>
    </row>
    <row r="261" spans="1:6" s="221" customFormat="1" x14ac:dyDescent="0.25">
      <c r="A261" s="230">
        <v>23200</v>
      </c>
      <c r="B261" s="236" t="s">
        <v>402</v>
      </c>
      <c r="C261" s="228"/>
      <c r="D261" s="226"/>
      <c r="E261" s="226" t="s">
        <v>1047</v>
      </c>
      <c r="F261" s="234">
        <f t="shared" si="4"/>
        <v>0</v>
      </c>
    </row>
    <row r="262" spans="1:6" s="221" customFormat="1" x14ac:dyDescent="0.25">
      <c r="A262" s="230">
        <v>23210</v>
      </c>
      <c r="B262" s="236" t="s">
        <v>1745</v>
      </c>
      <c r="C262" s="228"/>
      <c r="D262" s="226"/>
      <c r="E262" s="226" t="s">
        <v>1047</v>
      </c>
      <c r="F262" s="234">
        <f t="shared" si="4"/>
        <v>0</v>
      </c>
    </row>
    <row r="263" spans="1:6" s="221" customFormat="1" x14ac:dyDescent="0.25">
      <c r="A263" s="230">
        <v>23220</v>
      </c>
      <c r="B263" s="236" t="s">
        <v>403</v>
      </c>
      <c r="C263" s="228"/>
      <c r="D263" s="226">
        <v>23.02</v>
      </c>
      <c r="E263" s="226" t="s">
        <v>1047</v>
      </c>
      <c r="F263" s="234">
        <f t="shared" si="4"/>
        <v>0</v>
      </c>
    </row>
    <row r="264" spans="1:6" s="221" customFormat="1" x14ac:dyDescent="0.25">
      <c r="A264" s="230">
        <v>23230</v>
      </c>
      <c r="B264" s="236" t="s">
        <v>404</v>
      </c>
      <c r="C264" s="228"/>
      <c r="D264" s="226">
        <v>31.3</v>
      </c>
      <c r="E264" s="226" t="s">
        <v>1047</v>
      </c>
      <c r="F264" s="234">
        <f t="shared" si="4"/>
        <v>0</v>
      </c>
    </row>
    <row r="265" spans="1:6" s="221" customFormat="1" x14ac:dyDescent="0.25">
      <c r="A265" s="230">
        <v>23240</v>
      </c>
      <c r="B265" s="237" t="s">
        <v>405</v>
      </c>
      <c r="C265" s="228"/>
      <c r="D265" s="226">
        <v>34.520000000000003</v>
      </c>
      <c r="E265" s="226" t="s">
        <v>1047</v>
      </c>
      <c r="F265" s="234">
        <f t="shared" si="4"/>
        <v>0</v>
      </c>
    </row>
    <row r="266" spans="1:6" s="221" customFormat="1" x14ac:dyDescent="0.25">
      <c r="A266" s="230">
        <v>23250</v>
      </c>
      <c r="B266" s="236" t="s">
        <v>406</v>
      </c>
      <c r="C266" s="226"/>
      <c r="D266" s="226">
        <v>36.96</v>
      </c>
      <c r="E266" s="226" t="s">
        <v>1047</v>
      </c>
      <c r="F266" s="234">
        <f t="shared" si="4"/>
        <v>0</v>
      </c>
    </row>
    <row r="267" spans="1:6" s="221" customFormat="1" x14ac:dyDescent="0.25">
      <c r="A267" s="230">
        <v>23260</v>
      </c>
      <c r="B267" s="236" t="s">
        <v>407</v>
      </c>
      <c r="C267" s="228"/>
      <c r="D267" s="226">
        <v>41.43</v>
      </c>
      <c r="E267" s="226" t="s">
        <v>1047</v>
      </c>
      <c r="F267" s="234">
        <f t="shared" si="4"/>
        <v>0</v>
      </c>
    </row>
    <row r="268" spans="1:6" s="221" customFormat="1" x14ac:dyDescent="0.25">
      <c r="A268" s="230">
        <v>23270</v>
      </c>
      <c r="B268" s="236" t="s">
        <v>408</v>
      </c>
      <c r="C268" s="228"/>
      <c r="D268" s="226">
        <v>46.38</v>
      </c>
      <c r="E268" s="226" t="s">
        <v>1047</v>
      </c>
      <c r="F268" s="234">
        <f t="shared" si="4"/>
        <v>0</v>
      </c>
    </row>
    <row r="269" spans="1:6" s="221" customFormat="1" x14ac:dyDescent="0.25">
      <c r="A269" s="230">
        <v>23280</v>
      </c>
      <c r="B269" s="236" t="s">
        <v>409</v>
      </c>
      <c r="C269" s="228"/>
      <c r="D269" s="226">
        <v>54.98</v>
      </c>
      <c r="E269" s="226" t="s">
        <v>1047</v>
      </c>
      <c r="F269" s="234">
        <f t="shared" si="4"/>
        <v>0</v>
      </c>
    </row>
    <row r="270" spans="1:6" s="221" customFormat="1" x14ac:dyDescent="0.25">
      <c r="A270" s="230">
        <v>23290</v>
      </c>
      <c r="B270" s="236" t="s">
        <v>410</v>
      </c>
      <c r="C270" s="228"/>
      <c r="D270" s="226"/>
      <c r="E270" s="226" t="s">
        <v>1047</v>
      </c>
      <c r="F270" s="234">
        <f t="shared" si="4"/>
        <v>0</v>
      </c>
    </row>
    <row r="271" spans="1:6" s="221" customFormat="1" x14ac:dyDescent="0.25">
      <c r="A271" s="230">
        <v>23300</v>
      </c>
      <c r="B271" s="236" t="s">
        <v>411</v>
      </c>
      <c r="C271" s="228"/>
      <c r="D271" s="226"/>
      <c r="E271" s="226" t="s">
        <v>1047</v>
      </c>
      <c r="F271" s="234">
        <f t="shared" si="4"/>
        <v>0</v>
      </c>
    </row>
    <row r="272" spans="1:6" s="221" customFormat="1" x14ac:dyDescent="0.25">
      <c r="A272" s="230">
        <v>23310</v>
      </c>
      <c r="B272" s="236" t="s">
        <v>412</v>
      </c>
      <c r="C272" s="228"/>
      <c r="D272" s="226"/>
      <c r="E272" s="226" t="s">
        <v>1047</v>
      </c>
      <c r="F272" s="234">
        <f t="shared" si="4"/>
        <v>0</v>
      </c>
    </row>
    <row r="273" spans="1:6" s="221" customFormat="1" x14ac:dyDescent="0.25">
      <c r="A273" s="230">
        <v>23320</v>
      </c>
      <c r="B273" s="236" t="s">
        <v>413</v>
      </c>
      <c r="C273" s="228"/>
      <c r="D273" s="226"/>
      <c r="E273" s="226" t="s">
        <v>1047</v>
      </c>
      <c r="F273" s="234">
        <f t="shared" si="4"/>
        <v>0</v>
      </c>
    </row>
    <row r="274" spans="1:6" s="221" customFormat="1" x14ac:dyDescent="0.25">
      <c r="A274" s="230">
        <v>23330</v>
      </c>
      <c r="B274" s="236" t="s">
        <v>414</v>
      </c>
      <c r="C274" s="228"/>
      <c r="D274" s="226">
        <v>33.229999999999997</v>
      </c>
      <c r="E274" s="226" t="s">
        <v>1047</v>
      </c>
      <c r="F274" s="234">
        <f t="shared" si="4"/>
        <v>0</v>
      </c>
    </row>
    <row r="275" spans="1:6" s="221" customFormat="1" x14ac:dyDescent="0.25">
      <c r="A275" s="230">
        <v>23340</v>
      </c>
      <c r="B275" s="236" t="s">
        <v>415</v>
      </c>
      <c r="C275" s="228"/>
      <c r="D275" s="226">
        <v>38.590000000000003</v>
      </c>
      <c r="E275" s="226" t="s">
        <v>1047</v>
      </c>
      <c r="F275" s="234">
        <f t="shared" si="4"/>
        <v>0</v>
      </c>
    </row>
    <row r="276" spans="1:6" s="221" customFormat="1" x14ac:dyDescent="0.25">
      <c r="A276" s="230">
        <v>23350</v>
      </c>
      <c r="B276" s="237" t="s">
        <v>416</v>
      </c>
      <c r="C276" s="228"/>
      <c r="D276" s="226">
        <v>42.48</v>
      </c>
      <c r="E276" s="226" t="s">
        <v>1047</v>
      </c>
      <c r="F276" s="234">
        <f t="shared" si="4"/>
        <v>0</v>
      </c>
    </row>
    <row r="277" spans="1:6" s="221" customFormat="1" x14ac:dyDescent="0.25">
      <c r="A277" s="230">
        <v>23360</v>
      </c>
      <c r="B277" s="236" t="s">
        <v>417</v>
      </c>
      <c r="C277" s="228"/>
      <c r="D277" s="226">
        <v>47.33</v>
      </c>
      <c r="E277" s="226" t="s">
        <v>1047</v>
      </c>
      <c r="F277" s="234">
        <f t="shared" si="4"/>
        <v>0</v>
      </c>
    </row>
    <row r="278" spans="1:6" s="221" customFormat="1" x14ac:dyDescent="0.25">
      <c r="A278" s="230">
        <v>23370</v>
      </c>
      <c r="B278" s="236" t="s">
        <v>418</v>
      </c>
      <c r="C278" s="228"/>
      <c r="D278" s="226">
        <v>52.2</v>
      </c>
      <c r="E278" s="226" t="s">
        <v>1047</v>
      </c>
      <c r="F278" s="234">
        <f t="shared" si="4"/>
        <v>0</v>
      </c>
    </row>
    <row r="279" spans="1:6" s="221" customFormat="1" x14ac:dyDescent="0.25">
      <c r="A279" s="230">
        <v>23380</v>
      </c>
      <c r="B279" s="236" t="s">
        <v>419</v>
      </c>
      <c r="C279" s="229"/>
      <c r="D279" s="226">
        <v>57.48</v>
      </c>
      <c r="E279" s="226" t="s">
        <v>1047</v>
      </c>
      <c r="F279" s="234">
        <f t="shared" si="4"/>
        <v>0</v>
      </c>
    </row>
    <row r="280" spans="1:6" s="221" customFormat="1" x14ac:dyDescent="0.25">
      <c r="A280" s="230">
        <v>23390</v>
      </c>
      <c r="B280" s="236" t="s">
        <v>420</v>
      </c>
      <c r="C280" s="228"/>
      <c r="D280" s="226">
        <v>70.58</v>
      </c>
      <c r="E280" s="226" t="s">
        <v>1047</v>
      </c>
      <c r="F280" s="234">
        <f t="shared" si="4"/>
        <v>0</v>
      </c>
    </row>
    <row r="281" spans="1:6" s="221" customFormat="1" x14ac:dyDescent="0.25">
      <c r="A281" s="230">
        <v>23400</v>
      </c>
      <c r="B281" s="236" t="s">
        <v>421</v>
      </c>
      <c r="C281" s="228"/>
      <c r="D281" s="226">
        <v>86.83</v>
      </c>
      <c r="E281" s="226" t="s">
        <v>1047</v>
      </c>
      <c r="F281" s="234">
        <f t="shared" si="4"/>
        <v>0</v>
      </c>
    </row>
    <row r="282" spans="1:6" s="221" customFormat="1" x14ac:dyDescent="0.25">
      <c r="A282" s="230">
        <v>23410</v>
      </c>
      <c r="B282" s="236" t="s">
        <v>422</v>
      </c>
      <c r="C282" s="228"/>
      <c r="D282" s="226">
        <v>100.63</v>
      </c>
      <c r="E282" s="226" t="s">
        <v>1047</v>
      </c>
      <c r="F282" s="234">
        <f t="shared" si="4"/>
        <v>0</v>
      </c>
    </row>
    <row r="283" spans="1:6" s="221" customFormat="1" x14ac:dyDescent="0.25">
      <c r="A283" s="230">
        <v>23420</v>
      </c>
      <c r="B283" s="236" t="s">
        <v>423</v>
      </c>
      <c r="C283" s="228"/>
      <c r="D283" s="226">
        <v>119.6</v>
      </c>
      <c r="E283" s="226" t="s">
        <v>1047</v>
      </c>
      <c r="F283" s="234">
        <f t="shared" si="4"/>
        <v>0</v>
      </c>
    </row>
    <row r="284" spans="1:6" s="221" customFormat="1" x14ac:dyDescent="0.25">
      <c r="A284" s="230">
        <v>23430</v>
      </c>
      <c r="B284" s="236" t="s">
        <v>424</v>
      </c>
      <c r="C284" s="229"/>
      <c r="D284" s="226"/>
      <c r="E284" s="226" t="s">
        <v>1047</v>
      </c>
      <c r="F284" s="234">
        <f t="shared" si="4"/>
        <v>0</v>
      </c>
    </row>
    <row r="285" spans="1:6" s="221" customFormat="1" x14ac:dyDescent="0.25">
      <c r="A285" s="230">
        <v>24010</v>
      </c>
      <c r="B285" s="236" t="s">
        <v>426</v>
      </c>
      <c r="C285" s="228"/>
      <c r="D285" s="226">
        <v>1.25</v>
      </c>
      <c r="E285" s="226" t="s">
        <v>1047</v>
      </c>
      <c r="F285" s="234">
        <f t="shared" si="4"/>
        <v>0</v>
      </c>
    </row>
    <row r="286" spans="1:6" s="221" customFormat="1" x14ac:dyDescent="0.25">
      <c r="A286" s="230">
        <v>24030</v>
      </c>
      <c r="B286" s="236" t="s">
        <v>1789</v>
      </c>
      <c r="C286" s="228"/>
      <c r="D286" s="226">
        <v>1.1599999999999999</v>
      </c>
      <c r="E286" s="226" t="s">
        <v>1047</v>
      </c>
      <c r="F286" s="234">
        <f t="shared" si="4"/>
        <v>0</v>
      </c>
    </row>
    <row r="287" spans="1:6" s="221" customFormat="1" x14ac:dyDescent="0.25">
      <c r="A287" s="230">
        <v>24070</v>
      </c>
      <c r="B287" s="236" t="s">
        <v>431</v>
      </c>
      <c r="C287" s="229"/>
      <c r="D287" s="226">
        <v>0.67</v>
      </c>
      <c r="E287" s="226" t="s">
        <v>1047</v>
      </c>
      <c r="F287" s="234">
        <f t="shared" si="4"/>
        <v>0</v>
      </c>
    </row>
    <row r="288" spans="1:6" s="221" customFormat="1" x14ac:dyDescent="0.25">
      <c r="A288" s="230">
        <v>24100</v>
      </c>
      <c r="B288" s="236" t="s">
        <v>913</v>
      </c>
      <c r="C288" s="228"/>
      <c r="D288" s="226">
        <v>12.35</v>
      </c>
      <c r="E288" s="226" t="s">
        <v>1047</v>
      </c>
      <c r="F288" s="234">
        <f t="shared" si="4"/>
        <v>0</v>
      </c>
    </row>
    <row r="289" spans="1:6" s="221" customFormat="1" x14ac:dyDescent="0.25">
      <c r="A289" s="230">
        <v>24110</v>
      </c>
      <c r="B289" s="236" t="s">
        <v>655</v>
      </c>
      <c r="C289" s="228"/>
      <c r="D289" s="226">
        <v>1.4</v>
      </c>
      <c r="E289" s="226" t="s">
        <v>1047</v>
      </c>
      <c r="F289" s="234">
        <f t="shared" si="4"/>
        <v>0</v>
      </c>
    </row>
    <row r="290" spans="1:6" s="221" customFormat="1" x14ac:dyDescent="0.25">
      <c r="A290" s="230">
        <v>24120</v>
      </c>
      <c r="B290" s="236" t="s">
        <v>656</v>
      </c>
      <c r="C290" s="228"/>
      <c r="D290" s="226">
        <v>0.82</v>
      </c>
      <c r="E290" s="226" t="s">
        <v>1047</v>
      </c>
      <c r="F290" s="234">
        <f t="shared" si="4"/>
        <v>0</v>
      </c>
    </row>
    <row r="291" spans="1:6" s="221" customFormat="1" x14ac:dyDescent="0.25">
      <c r="A291" s="230">
        <v>24130</v>
      </c>
      <c r="B291" s="236" t="s">
        <v>435</v>
      </c>
      <c r="C291" s="228"/>
      <c r="D291" s="226">
        <v>0.66</v>
      </c>
      <c r="E291" s="226" t="s">
        <v>1047</v>
      </c>
      <c r="F291" s="234">
        <f t="shared" si="4"/>
        <v>0</v>
      </c>
    </row>
    <row r="292" spans="1:6" s="221" customFormat="1" x14ac:dyDescent="0.25">
      <c r="A292" s="230">
        <v>24140</v>
      </c>
      <c r="B292" s="236" t="s">
        <v>1372</v>
      </c>
      <c r="C292" s="260"/>
      <c r="D292" s="226">
        <v>1.25</v>
      </c>
      <c r="E292" s="259" t="s">
        <v>1047</v>
      </c>
      <c r="F292" s="234">
        <f t="shared" si="4"/>
        <v>0</v>
      </c>
    </row>
    <row r="293" spans="1:6" s="221" customFormat="1" x14ac:dyDescent="0.25">
      <c r="A293" s="230">
        <v>24150</v>
      </c>
      <c r="B293" s="236" t="s">
        <v>658</v>
      </c>
      <c r="C293" s="228"/>
      <c r="D293" s="226">
        <v>0.89</v>
      </c>
      <c r="E293" s="226" t="s">
        <v>1047</v>
      </c>
      <c r="F293" s="234">
        <f t="shared" si="4"/>
        <v>0</v>
      </c>
    </row>
    <row r="294" spans="1:6" s="221" customFormat="1" x14ac:dyDescent="0.25">
      <c r="A294" s="258">
        <v>24175</v>
      </c>
      <c r="B294" s="259" t="s">
        <v>1775</v>
      </c>
      <c r="C294" s="229"/>
      <c r="D294" s="226">
        <v>2.14</v>
      </c>
      <c r="E294" s="226" t="s">
        <v>1047</v>
      </c>
      <c r="F294" s="234">
        <f t="shared" si="4"/>
        <v>0</v>
      </c>
    </row>
    <row r="295" spans="1:6" s="221" customFormat="1" x14ac:dyDescent="0.25">
      <c r="A295" s="230">
        <v>24190</v>
      </c>
      <c r="B295" s="236" t="s">
        <v>662</v>
      </c>
      <c r="C295" s="228"/>
      <c r="D295" s="241">
        <v>1.87</v>
      </c>
      <c r="E295" s="226" t="s">
        <v>1047</v>
      </c>
      <c r="F295" s="234">
        <f t="shared" si="4"/>
        <v>0</v>
      </c>
    </row>
    <row r="296" spans="1:6" s="221" customFormat="1" x14ac:dyDescent="0.25">
      <c r="A296" s="230">
        <v>24210</v>
      </c>
      <c r="B296" s="236" t="s">
        <v>433</v>
      </c>
      <c r="C296" s="228"/>
      <c r="D296" s="226">
        <v>30.24</v>
      </c>
      <c r="E296" s="226" t="s">
        <v>1047</v>
      </c>
      <c r="F296" s="234">
        <f t="shared" si="4"/>
        <v>0</v>
      </c>
    </row>
    <row r="297" spans="1:6" s="221" customFormat="1" x14ac:dyDescent="0.25">
      <c r="A297" s="230">
        <v>24220</v>
      </c>
      <c r="B297" s="236" t="s">
        <v>663</v>
      </c>
      <c r="C297" s="228"/>
      <c r="D297" s="226">
        <v>6.47</v>
      </c>
      <c r="E297" s="226" t="s">
        <v>1047</v>
      </c>
      <c r="F297" s="234">
        <f t="shared" si="4"/>
        <v>0</v>
      </c>
    </row>
    <row r="298" spans="1:6" s="221" customFormat="1" x14ac:dyDescent="0.25">
      <c r="A298" s="230">
        <v>24230</v>
      </c>
      <c r="B298" s="236" t="s">
        <v>434</v>
      </c>
      <c r="C298" s="229"/>
      <c r="D298" s="241">
        <v>8.6300000000000008</v>
      </c>
      <c r="E298" s="226" t="s">
        <v>1047</v>
      </c>
      <c r="F298" s="234">
        <f t="shared" si="4"/>
        <v>0</v>
      </c>
    </row>
    <row r="299" spans="1:6" s="221" customFormat="1" x14ac:dyDescent="0.25">
      <c r="A299" s="230">
        <v>24240</v>
      </c>
      <c r="B299" s="236" t="s">
        <v>664</v>
      </c>
      <c r="C299" s="229"/>
      <c r="D299" s="226">
        <v>3.06</v>
      </c>
      <c r="E299" s="226" t="s">
        <v>1047</v>
      </c>
      <c r="F299" s="234">
        <f t="shared" si="4"/>
        <v>0</v>
      </c>
    </row>
    <row r="300" spans="1:6" s="221" customFormat="1" x14ac:dyDescent="0.25">
      <c r="A300" s="230">
        <v>25000</v>
      </c>
      <c r="B300" s="236" t="s">
        <v>1790</v>
      </c>
      <c r="C300" s="228"/>
      <c r="D300" s="226">
        <v>6.99</v>
      </c>
      <c r="E300" s="226" t="s">
        <v>1047</v>
      </c>
      <c r="F300" s="234">
        <f t="shared" si="4"/>
        <v>0</v>
      </c>
    </row>
    <row r="301" spans="1:6" s="221" customFormat="1" x14ac:dyDescent="0.25">
      <c r="A301" s="230">
        <v>25010</v>
      </c>
      <c r="B301" s="236" t="s">
        <v>1791</v>
      </c>
      <c r="C301" s="229"/>
      <c r="D301" s="226">
        <v>12.28</v>
      </c>
      <c r="E301" s="226" t="s">
        <v>1047</v>
      </c>
      <c r="F301" s="234">
        <f t="shared" si="4"/>
        <v>0</v>
      </c>
    </row>
    <row r="302" spans="1:6" s="221" customFormat="1" x14ac:dyDescent="0.25">
      <c r="A302" s="230">
        <v>25020</v>
      </c>
      <c r="B302" s="236" t="s">
        <v>1792</v>
      </c>
      <c r="C302" s="228"/>
      <c r="D302" s="226">
        <v>12.33</v>
      </c>
      <c r="E302" s="226" t="s">
        <v>1047</v>
      </c>
      <c r="F302" s="234">
        <f t="shared" si="4"/>
        <v>0</v>
      </c>
    </row>
    <row r="303" spans="1:6" s="221" customFormat="1" x14ac:dyDescent="0.25">
      <c r="A303" s="230">
        <v>25030</v>
      </c>
      <c r="B303" s="236" t="s">
        <v>1793</v>
      </c>
      <c r="C303" s="229"/>
      <c r="D303" s="226">
        <v>36.72</v>
      </c>
      <c r="E303" s="226" t="s">
        <v>1047</v>
      </c>
      <c r="F303" s="234">
        <f t="shared" si="4"/>
        <v>0</v>
      </c>
    </row>
    <row r="304" spans="1:6" s="221" customFormat="1" x14ac:dyDescent="0.25">
      <c r="A304" s="230">
        <v>25040</v>
      </c>
      <c r="B304" s="236" t="s">
        <v>682</v>
      </c>
      <c r="C304" s="228"/>
      <c r="D304" s="241">
        <v>104.09</v>
      </c>
      <c r="E304" s="226" t="s">
        <v>1047</v>
      </c>
      <c r="F304" s="234">
        <f t="shared" si="4"/>
        <v>0</v>
      </c>
    </row>
    <row r="305" spans="1:6" s="221" customFormat="1" x14ac:dyDescent="0.25">
      <c r="A305" s="230">
        <v>25050</v>
      </c>
      <c r="B305" s="226" t="s">
        <v>1726</v>
      </c>
      <c r="C305" s="228"/>
      <c r="D305" s="241">
        <v>0</v>
      </c>
      <c r="E305" s="226" t="s">
        <v>1047</v>
      </c>
      <c r="F305" s="234">
        <f t="shared" si="4"/>
        <v>0</v>
      </c>
    </row>
    <row r="306" spans="1:6" s="221" customFormat="1" x14ac:dyDescent="0.25">
      <c r="A306" s="230">
        <v>25060</v>
      </c>
      <c r="B306" s="236" t="s">
        <v>1794</v>
      </c>
      <c r="C306" s="228"/>
      <c r="D306" s="241">
        <v>10.82</v>
      </c>
      <c r="E306" s="226" t="s">
        <v>1047</v>
      </c>
      <c r="F306" s="234">
        <f t="shared" si="4"/>
        <v>0</v>
      </c>
    </row>
    <row r="307" spans="1:6" s="221" customFormat="1" x14ac:dyDescent="0.25">
      <c r="A307" s="230">
        <v>25070</v>
      </c>
      <c r="B307" s="236" t="s">
        <v>1795</v>
      </c>
      <c r="C307" s="228"/>
      <c r="D307" s="241">
        <v>39.659999999999997</v>
      </c>
      <c r="E307" s="226" t="s">
        <v>1047</v>
      </c>
      <c r="F307" s="234">
        <f t="shared" si="4"/>
        <v>0</v>
      </c>
    </row>
    <row r="308" spans="1:6" s="221" customFormat="1" x14ac:dyDescent="0.25">
      <c r="A308" s="230">
        <v>25080</v>
      </c>
      <c r="B308" s="236" t="s">
        <v>1796</v>
      </c>
      <c r="C308" s="228"/>
      <c r="D308" s="226">
        <v>150.35</v>
      </c>
      <c r="E308" s="226" t="s">
        <v>1047</v>
      </c>
      <c r="F308" s="234">
        <f t="shared" si="4"/>
        <v>0</v>
      </c>
    </row>
    <row r="309" spans="1:6" s="221" customFormat="1" x14ac:dyDescent="0.25">
      <c r="A309" s="230">
        <v>25090</v>
      </c>
      <c r="B309" s="236" t="s">
        <v>1797</v>
      </c>
      <c r="C309" s="228"/>
      <c r="D309" s="241">
        <v>0</v>
      </c>
      <c r="E309" s="226" t="s">
        <v>1047</v>
      </c>
      <c r="F309" s="234">
        <f t="shared" si="4"/>
        <v>0</v>
      </c>
    </row>
    <row r="310" spans="1:6" s="221" customFormat="1" x14ac:dyDescent="0.25">
      <c r="A310" s="230">
        <v>25100</v>
      </c>
      <c r="B310" s="236" t="s">
        <v>1798</v>
      </c>
      <c r="C310" s="228"/>
      <c r="D310" s="226">
        <v>32.97</v>
      </c>
      <c r="E310" s="226" t="s">
        <v>1047</v>
      </c>
      <c r="F310" s="234">
        <f t="shared" si="4"/>
        <v>0</v>
      </c>
    </row>
    <row r="311" spans="1:6" s="221" customFormat="1" x14ac:dyDescent="0.25">
      <c r="A311" s="230">
        <v>25110</v>
      </c>
      <c r="B311" s="226" t="s">
        <v>1799</v>
      </c>
      <c r="C311" s="228"/>
      <c r="D311" s="226">
        <v>42.59</v>
      </c>
      <c r="E311" s="226" t="s">
        <v>1047</v>
      </c>
      <c r="F311" s="234">
        <f t="shared" si="4"/>
        <v>0</v>
      </c>
    </row>
    <row r="312" spans="1:6" s="221" customFormat="1" x14ac:dyDescent="0.25">
      <c r="A312" s="230">
        <v>25120</v>
      </c>
      <c r="B312" s="236" t="s">
        <v>1800</v>
      </c>
      <c r="C312" s="228"/>
      <c r="D312" s="226">
        <v>28.16</v>
      </c>
      <c r="E312" s="226" t="s">
        <v>1047</v>
      </c>
      <c r="F312" s="234">
        <f t="shared" si="4"/>
        <v>0</v>
      </c>
    </row>
    <row r="313" spans="1:6" s="221" customFormat="1" x14ac:dyDescent="0.25">
      <c r="A313" s="230">
        <v>25130</v>
      </c>
      <c r="B313" s="226" t="s">
        <v>1801</v>
      </c>
      <c r="C313" s="228"/>
      <c r="D313" s="226">
        <v>70.069999999999993</v>
      </c>
      <c r="E313" s="226" t="s">
        <v>1047</v>
      </c>
      <c r="F313" s="234">
        <f t="shared" si="4"/>
        <v>0</v>
      </c>
    </row>
    <row r="314" spans="1:6" s="221" customFormat="1" x14ac:dyDescent="0.25">
      <c r="A314" s="230">
        <v>25140</v>
      </c>
      <c r="B314" s="236" t="s">
        <v>1802</v>
      </c>
      <c r="C314" s="228"/>
      <c r="D314" s="241">
        <v>147.5</v>
      </c>
      <c r="E314" s="226" t="s">
        <v>1047</v>
      </c>
      <c r="F314" s="234">
        <f t="shared" si="4"/>
        <v>0</v>
      </c>
    </row>
    <row r="315" spans="1:6" s="221" customFormat="1" x14ac:dyDescent="0.25">
      <c r="A315" s="230">
        <v>25150</v>
      </c>
      <c r="B315" s="236" t="s">
        <v>1803</v>
      </c>
      <c r="C315" s="228"/>
      <c r="D315" s="241">
        <v>0</v>
      </c>
      <c r="E315" s="226" t="s">
        <v>1047</v>
      </c>
      <c r="F315" s="234">
        <f t="shared" si="4"/>
        <v>0</v>
      </c>
    </row>
    <row r="316" spans="1:6" s="221" customFormat="1" x14ac:dyDescent="0.25">
      <c r="A316" s="230">
        <v>25170</v>
      </c>
      <c r="B316" s="236" t="s">
        <v>1805</v>
      </c>
      <c r="C316" s="228"/>
      <c r="D316" s="241">
        <v>0</v>
      </c>
      <c r="E316" s="226" t="s">
        <v>1047</v>
      </c>
      <c r="F316" s="234">
        <f t="shared" si="4"/>
        <v>0</v>
      </c>
    </row>
    <row r="317" spans="1:6" s="221" customFormat="1" x14ac:dyDescent="0.25">
      <c r="A317" s="230">
        <v>25180</v>
      </c>
      <c r="B317" s="236" t="s">
        <v>684</v>
      </c>
      <c r="C317" s="228"/>
      <c r="D317" s="226">
        <v>203.05</v>
      </c>
      <c r="E317" s="226" t="s">
        <v>1047</v>
      </c>
      <c r="F317" s="234">
        <f t="shared" si="4"/>
        <v>0</v>
      </c>
    </row>
    <row r="318" spans="1:6" s="221" customFormat="1" x14ac:dyDescent="0.25">
      <c r="A318" s="230">
        <v>25200</v>
      </c>
      <c r="B318" s="236" t="s">
        <v>685</v>
      </c>
      <c r="C318" s="228"/>
      <c r="D318" s="241">
        <v>60</v>
      </c>
      <c r="E318" s="226" t="s">
        <v>1047</v>
      </c>
      <c r="F318" s="234">
        <f t="shared" si="4"/>
        <v>0</v>
      </c>
    </row>
    <row r="319" spans="1:6" s="221" customFormat="1" x14ac:dyDescent="0.25">
      <c r="A319" s="230">
        <v>25210</v>
      </c>
      <c r="B319" s="237" t="s">
        <v>907</v>
      </c>
      <c r="C319" s="228"/>
      <c r="D319" s="241">
        <v>18.52</v>
      </c>
      <c r="E319" s="226" t="s">
        <v>1047</v>
      </c>
      <c r="F319" s="234">
        <f t="shared" si="4"/>
        <v>0</v>
      </c>
    </row>
    <row r="320" spans="1:6" s="221" customFormat="1" x14ac:dyDescent="0.25">
      <c r="A320" s="230">
        <v>25220</v>
      </c>
      <c r="B320" s="237" t="s">
        <v>911</v>
      </c>
      <c r="C320" s="228"/>
      <c r="D320" s="241">
        <v>20.95</v>
      </c>
      <c r="E320" s="226" t="s">
        <v>1047</v>
      </c>
      <c r="F320" s="234">
        <f t="shared" si="4"/>
        <v>0</v>
      </c>
    </row>
    <row r="321" spans="1:6" s="221" customFormat="1" x14ac:dyDescent="0.25">
      <c r="A321" s="230">
        <v>25230</v>
      </c>
      <c r="B321" s="236" t="s">
        <v>1806</v>
      </c>
      <c r="C321" s="228"/>
      <c r="D321" s="241">
        <v>2.2400000000000002</v>
      </c>
      <c r="E321" s="226" t="s">
        <v>1047</v>
      </c>
      <c r="F321" s="234">
        <f t="shared" ref="F321:F384" si="5">C321*D321</f>
        <v>0</v>
      </c>
    </row>
    <row r="322" spans="1:6" s="221" customFormat="1" x14ac:dyDescent="0.25">
      <c r="A322" s="230">
        <v>25240</v>
      </c>
      <c r="B322" s="236" t="s">
        <v>1807</v>
      </c>
      <c r="C322" s="226"/>
      <c r="D322" s="241">
        <v>2.5299999999999998</v>
      </c>
      <c r="E322" s="226" t="s">
        <v>1047</v>
      </c>
      <c r="F322" s="234">
        <f t="shared" si="5"/>
        <v>0</v>
      </c>
    </row>
    <row r="323" spans="1:6" s="221" customFormat="1" x14ac:dyDescent="0.25">
      <c r="A323" s="230">
        <v>25250</v>
      </c>
      <c r="B323" s="236" t="s">
        <v>1808</v>
      </c>
      <c r="C323" s="226"/>
      <c r="D323" s="241">
        <v>3.1</v>
      </c>
      <c r="E323" s="226" t="s">
        <v>1047</v>
      </c>
      <c r="F323" s="234">
        <f t="shared" si="5"/>
        <v>0</v>
      </c>
    </row>
    <row r="324" spans="1:6" s="221" customFormat="1" x14ac:dyDescent="0.25">
      <c r="A324" s="230">
        <v>25260</v>
      </c>
      <c r="B324" s="236" t="s">
        <v>1809</v>
      </c>
      <c r="C324" s="226"/>
      <c r="D324" s="241">
        <v>3.33</v>
      </c>
      <c r="E324" s="226" t="s">
        <v>1047</v>
      </c>
      <c r="F324" s="234">
        <f t="shared" si="5"/>
        <v>0</v>
      </c>
    </row>
    <row r="325" spans="1:6" s="221" customFormat="1" x14ac:dyDescent="0.25">
      <c r="A325" s="230">
        <v>25270</v>
      </c>
      <c r="B325" s="236" t="s">
        <v>1810</v>
      </c>
      <c r="C325" s="226"/>
      <c r="D325" s="241">
        <v>3.67</v>
      </c>
      <c r="E325" s="226" t="s">
        <v>1047</v>
      </c>
      <c r="F325" s="234">
        <f t="shared" si="5"/>
        <v>0</v>
      </c>
    </row>
    <row r="326" spans="1:6" s="221" customFormat="1" x14ac:dyDescent="0.25">
      <c r="A326" s="230">
        <v>25280</v>
      </c>
      <c r="B326" s="236" t="s">
        <v>1811</v>
      </c>
      <c r="C326" s="226"/>
      <c r="D326" s="241">
        <v>3.68</v>
      </c>
      <c r="E326" s="226" t="s">
        <v>1047</v>
      </c>
      <c r="F326" s="234">
        <f t="shared" si="5"/>
        <v>0</v>
      </c>
    </row>
    <row r="327" spans="1:6" s="221" customFormat="1" x14ac:dyDescent="0.25">
      <c r="A327" s="230">
        <v>25290</v>
      </c>
      <c r="B327" s="236" t="s">
        <v>1812</v>
      </c>
      <c r="C327" s="226"/>
      <c r="D327" s="241">
        <v>6.07</v>
      </c>
      <c r="E327" s="226" t="s">
        <v>1047</v>
      </c>
      <c r="F327" s="234">
        <f t="shared" si="5"/>
        <v>0</v>
      </c>
    </row>
    <row r="328" spans="1:6" s="221" customFormat="1" x14ac:dyDescent="0.25">
      <c r="A328" s="230">
        <v>26010</v>
      </c>
      <c r="B328" s="230" t="s">
        <v>971</v>
      </c>
      <c r="C328" s="226"/>
      <c r="D328" s="241">
        <v>3.48</v>
      </c>
      <c r="E328" s="226" t="s">
        <v>1047</v>
      </c>
      <c r="F328" s="234">
        <f t="shared" si="5"/>
        <v>0</v>
      </c>
    </row>
    <row r="329" spans="1:6" s="221" customFormat="1" x14ac:dyDescent="0.25">
      <c r="A329" s="230">
        <v>26040</v>
      </c>
      <c r="B329" s="230" t="s">
        <v>972</v>
      </c>
      <c r="C329" s="226"/>
      <c r="D329" s="241">
        <v>20.83</v>
      </c>
      <c r="E329" s="226" t="s">
        <v>1047</v>
      </c>
      <c r="F329" s="234">
        <f t="shared" si="5"/>
        <v>0</v>
      </c>
    </row>
    <row r="330" spans="1:6" s="221" customFormat="1" x14ac:dyDescent="0.25">
      <c r="A330" s="230">
        <v>26060</v>
      </c>
      <c r="B330" s="230" t="s">
        <v>738</v>
      </c>
      <c r="C330" s="226"/>
      <c r="D330" s="241">
        <v>22.06</v>
      </c>
      <c r="E330" s="226" t="s">
        <v>1047</v>
      </c>
      <c r="F330" s="234">
        <f t="shared" si="5"/>
        <v>0</v>
      </c>
    </row>
    <row r="331" spans="1:6" s="221" customFormat="1" x14ac:dyDescent="0.25">
      <c r="A331" s="230">
        <v>26070</v>
      </c>
      <c r="B331" s="230" t="s">
        <v>976</v>
      </c>
      <c r="C331" s="226"/>
      <c r="D331" s="241">
        <v>28</v>
      </c>
      <c r="E331" s="226" t="s">
        <v>1047</v>
      </c>
      <c r="F331" s="234">
        <f t="shared" si="5"/>
        <v>0</v>
      </c>
    </row>
    <row r="332" spans="1:6" s="221" customFormat="1" x14ac:dyDescent="0.25">
      <c r="A332" s="230">
        <v>26080</v>
      </c>
      <c r="B332" s="230" t="s">
        <v>534</v>
      </c>
      <c r="C332" s="226"/>
      <c r="D332" s="241">
        <v>13.03</v>
      </c>
      <c r="E332" s="226" t="s">
        <v>1047</v>
      </c>
      <c r="F332" s="234">
        <f t="shared" si="5"/>
        <v>0</v>
      </c>
    </row>
    <row r="333" spans="1:6" s="221" customFormat="1" x14ac:dyDescent="0.25">
      <c r="A333" s="230">
        <v>26090</v>
      </c>
      <c r="B333" s="230" t="s">
        <v>974</v>
      </c>
      <c r="C333" s="226"/>
      <c r="D333" s="241">
        <v>28</v>
      </c>
      <c r="E333" s="226" t="s">
        <v>1047</v>
      </c>
      <c r="F333" s="234">
        <f t="shared" si="5"/>
        <v>0</v>
      </c>
    </row>
    <row r="334" spans="1:6" s="221" customFormat="1" x14ac:dyDescent="0.25">
      <c r="A334" s="230">
        <v>26100</v>
      </c>
      <c r="B334" s="230" t="s">
        <v>975</v>
      </c>
      <c r="C334" s="228"/>
      <c r="D334" s="241">
        <v>48.5</v>
      </c>
      <c r="E334" s="226" t="s">
        <v>1047</v>
      </c>
      <c r="F334" s="234">
        <f t="shared" si="5"/>
        <v>0</v>
      </c>
    </row>
    <row r="335" spans="1:6" s="221" customFormat="1" x14ac:dyDescent="0.25">
      <c r="A335" s="230">
        <v>26110</v>
      </c>
      <c r="B335" s="230" t="s">
        <v>977</v>
      </c>
      <c r="C335" s="228"/>
      <c r="D335" s="241">
        <v>55.24</v>
      </c>
      <c r="E335" s="226" t="s">
        <v>1047</v>
      </c>
      <c r="F335" s="234">
        <f t="shared" si="5"/>
        <v>0</v>
      </c>
    </row>
    <row r="336" spans="1:6" s="221" customFormat="1" x14ac:dyDescent="0.25">
      <c r="A336" s="230">
        <v>26500</v>
      </c>
      <c r="B336" s="236" t="s">
        <v>914</v>
      </c>
      <c r="C336" s="228"/>
      <c r="D336" s="241"/>
      <c r="E336" s="226" t="s">
        <v>1047</v>
      </c>
      <c r="F336" s="234">
        <f t="shared" si="5"/>
        <v>0</v>
      </c>
    </row>
    <row r="337" spans="1:6" s="221" customFormat="1" x14ac:dyDescent="0.25">
      <c r="A337" s="230">
        <v>26530</v>
      </c>
      <c r="B337" s="236" t="s">
        <v>442</v>
      </c>
      <c r="C337" s="228"/>
      <c r="D337" s="241"/>
      <c r="E337" s="226" t="s">
        <v>1047</v>
      </c>
      <c r="F337" s="234">
        <f t="shared" si="5"/>
        <v>0</v>
      </c>
    </row>
    <row r="338" spans="1:6" s="221" customFormat="1" x14ac:dyDescent="0.25">
      <c r="A338" s="230">
        <v>26540</v>
      </c>
      <c r="B338" s="236" t="s">
        <v>443</v>
      </c>
      <c r="C338" s="228"/>
      <c r="D338" s="241"/>
      <c r="E338" s="226" t="s">
        <v>1047</v>
      </c>
      <c r="F338" s="234">
        <f t="shared" si="5"/>
        <v>0</v>
      </c>
    </row>
    <row r="339" spans="1:6" s="221" customFormat="1" x14ac:dyDescent="0.25">
      <c r="A339" s="230">
        <v>26550</v>
      </c>
      <c r="B339" s="236" t="s">
        <v>444</v>
      </c>
      <c r="C339" s="228"/>
      <c r="D339" s="241"/>
      <c r="E339" s="226" t="s">
        <v>1047</v>
      </c>
      <c r="F339" s="234">
        <f t="shared" si="5"/>
        <v>0</v>
      </c>
    </row>
    <row r="340" spans="1:6" s="221" customFormat="1" x14ac:dyDescent="0.25">
      <c r="A340" s="230">
        <v>26560</v>
      </c>
      <c r="B340" s="236" t="s">
        <v>705</v>
      </c>
      <c r="C340" s="228"/>
      <c r="D340" s="241">
        <v>291.39</v>
      </c>
      <c r="E340" s="226" t="s">
        <v>1047</v>
      </c>
      <c r="F340" s="234">
        <f t="shared" si="5"/>
        <v>0</v>
      </c>
    </row>
    <row r="341" spans="1:6" s="221" customFormat="1" x14ac:dyDescent="0.25">
      <c r="A341" s="230">
        <v>26570</v>
      </c>
      <c r="B341" s="236" t="s">
        <v>920</v>
      </c>
      <c r="C341" s="228"/>
      <c r="D341" s="241">
        <v>1291.73</v>
      </c>
      <c r="E341" s="226" t="s">
        <v>1047</v>
      </c>
      <c r="F341" s="234">
        <f t="shared" si="5"/>
        <v>0</v>
      </c>
    </row>
    <row r="342" spans="1:6" s="221" customFormat="1" x14ac:dyDescent="0.25">
      <c r="A342" s="230">
        <v>26580</v>
      </c>
      <c r="B342" s="226" t="s">
        <v>1478</v>
      </c>
      <c r="C342" s="228"/>
      <c r="D342" s="241">
        <v>1592.99</v>
      </c>
      <c r="E342" s="226" t="s">
        <v>1047</v>
      </c>
      <c r="F342" s="234">
        <f t="shared" si="5"/>
        <v>0</v>
      </c>
    </row>
    <row r="343" spans="1:6" s="221" customFormat="1" x14ac:dyDescent="0.25">
      <c r="A343" s="230">
        <v>26590</v>
      </c>
      <c r="B343" s="236" t="s">
        <v>921</v>
      </c>
      <c r="C343" s="228"/>
      <c r="D343" s="241">
        <v>125.68</v>
      </c>
      <c r="E343" s="226" t="s">
        <v>1047</v>
      </c>
      <c r="F343" s="234">
        <f t="shared" si="5"/>
        <v>0</v>
      </c>
    </row>
    <row r="344" spans="1:6" s="221" customFormat="1" x14ac:dyDescent="0.25">
      <c r="A344" s="230">
        <v>26600</v>
      </c>
      <c r="B344" s="236" t="s">
        <v>922</v>
      </c>
      <c r="C344" s="226"/>
      <c r="D344" s="241">
        <v>94.63</v>
      </c>
      <c r="E344" s="226" t="s">
        <v>1047</v>
      </c>
      <c r="F344" s="234">
        <f t="shared" si="5"/>
        <v>0</v>
      </c>
    </row>
    <row r="345" spans="1:6" s="221" customFormat="1" x14ac:dyDescent="0.25">
      <c r="A345" s="230">
        <v>26610</v>
      </c>
      <c r="B345" s="236" t="s">
        <v>923</v>
      </c>
      <c r="C345" s="228"/>
      <c r="D345" s="241">
        <v>125.68</v>
      </c>
      <c r="E345" s="226" t="s">
        <v>1047</v>
      </c>
      <c r="F345" s="234">
        <f t="shared" si="5"/>
        <v>0</v>
      </c>
    </row>
    <row r="346" spans="1:6" s="221" customFormat="1" x14ac:dyDescent="0.25">
      <c r="A346" s="230">
        <v>26620</v>
      </c>
      <c r="B346" s="236" t="s">
        <v>924</v>
      </c>
      <c r="C346" s="229"/>
      <c r="D346" s="241">
        <v>125.68</v>
      </c>
      <c r="E346" s="226" t="s">
        <v>1047</v>
      </c>
      <c r="F346" s="234">
        <f t="shared" si="5"/>
        <v>0</v>
      </c>
    </row>
    <row r="347" spans="1:6" s="221" customFormat="1" x14ac:dyDescent="0.25">
      <c r="A347" s="230">
        <v>27000</v>
      </c>
      <c r="B347" s="236" t="s">
        <v>440</v>
      </c>
      <c r="C347" s="228"/>
      <c r="D347" s="241"/>
      <c r="E347" s="226" t="s">
        <v>1047</v>
      </c>
      <c r="F347" s="234">
        <f t="shared" si="5"/>
        <v>0</v>
      </c>
    </row>
    <row r="348" spans="1:6" s="221" customFormat="1" x14ac:dyDescent="0.25">
      <c r="A348" s="230">
        <v>27020</v>
      </c>
      <c r="B348" s="236" t="s">
        <v>1814</v>
      </c>
      <c r="C348" s="228"/>
      <c r="D348" s="241">
        <v>184.3</v>
      </c>
      <c r="E348" s="226" t="s">
        <v>1047</v>
      </c>
      <c r="F348" s="234">
        <f t="shared" si="5"/>
        <v>0</v>
      </c>
    </row>
    <row r="349" spans="1:6" s="221" customFormat="1" x14ac:dyDescent="0.25">
      <c r="A349" s="230">
        <v>27030</v>
      </c>
      <c r="B349" s="236" t="s">
        <v>1815</v>
      </c>
      <c r="C349" s="228"/>
      <c r="D349" s="241">
        <v>208</v>
      </c>
      <c r="E349" s="226" t="s">
        <v>1047</v>
      </c>
      <c r="F349" s="234">
        <f t="shared" si="5"/>
        <v>0</v>
      </c>
    </row>
    <row r="350" spans="1:6" s="221" customFormat="1" x14ac:dyDescent="0.25">
      <c r="A350" s="230">
        <v>27050</v>
      </c>
      <c r="B350" s="236" t="s">
        <v>1817</v>
      </c>
      <c r="C350" s="228"/>
      <c r="D350" s="241">
        <v>104.4</v>
      </c>
      <c r="E350" s="226" t="s">
        <v>1047</v>
      </c>
      <c r="F350" s="234">
        <f t="shared" si="5"/>
        <v>0</v>
      </c>
    </row>
    <row r="351" spans="1:6" s="221" customFormat="1" x14ac:dyDescent="0.25">
      <c r="A351" s="230">
        <v>27060</v>
      </c>
      <c r="B351" s="236" t="s">
        <v>1818</v>
      </c>
      <c r="C351" s="228"/>
      <c r="D351" s="241">
        <v>157.03</v>
      </c>
      <c r="E351" s="226" t="s">
        <v>1047</v>
      </c>
      <c r="F351" s="234">
        <f t="shared" si="5"/>
        <v>0</v>
      </c>
    </row>
    <row r="352" spans="1:6" s="221" customFormat="1" x14ac:dyDescent="0.25">
      <c r="A352" s="230">
        <v>27090</v>
      </c>
      <c r="B352" s="236" t="s">
        <v>1821</v>
      </c>
      <c r="C352" s="228"/>
      <c r="D352" s="241">
        <v>128.15</v>
      </c>
      <c r="E352" s="226" t="s">
        <v>1047</v>
      </c>
      <c r="F352" s="234">
        <f t="shared" si="5"/>
        <v>0</v>
      </c>
    </row>
    <row r="353" spans="1:6" s="221" customFormat="1" x14ac:dyDescent="0.25">
      <c r="A353" s="230">
        <v>27100</v>
      </c>
      <c r="B353" s="236" t="s">
        <v>1822</v>
      </c>
      <c r="C353" s="228"/>
      <c r="D353" s="241">
        <v>152</v>
      </c>
      <c r="E353" s="226" t="s">
        <v>1047</v>
      </c>
      <c r="F353" s="234">
        <f t="shared" si="5"/>
        <v>0</v>
      </c>
    </row>
    <row r="354" spans="1:6" s="221" customFormat="1" x14ac:dyDescent="0.25">
      <c r="A354" s="230">
        <v>27110</v>
      </c>
      <c r="B354" s="236" t="s">
        <v>1823</v>
      </c>
      <c r="C354" s="228"/>
      <c r="D354" s="241">
        <v>76.8</v>
      </c>
      <c r="E354" s="226" t="s">
        <v>1047</v>
      </c>
      <c r="F354" s="234">
        <f t="shared" si="5"/>
        <v>0</v>
      </c>
    </row>
    <row r="355" spans="1:6" s="221" customFormat="1" x14ac:dyDescent="0.25">
      <c r="A355" s="230">
        <v>27120</v>
      </c>
      <c r="B355" s="236" t="s">
        <v>1824</v>
      </c>
      <c r="C355" s="228"/>
      <c r="D355" s="241">
        <v>90.1</v>
      </c>
      <c r="E355" s="226" t="s">
        <v>1047</v>
      </c>
      <c r="F355" s="234">
        <f t="shared" si="5"/>
        <v>0</v>
      </c>
    </row>
    <row r="356" spans="1:6" s="221" customFormat="1" x14ac:dyDescent="0.25">
      <c r="A356" s="230">
        <v>27140</v>
      </c>
      <c r="B356" s="236" t="s">
        <v>1826</v>
      </c>
      <c r="C356" s="228"/>
      <c r="D356" s="226">
        <v>53.87</v>
      </c>
      <c r="E356" s="226" t="s">
        <v>1047</v>
      </c>
      <c r="F356" s="234">
        <f t="shared" si="5"/>
        <v>0</v>
      </c>
    </row>
    <row r="357" spans="1:6" s="221" customFormat="1" x14ac:dyDescent="0.25">
      <c r="A357" s="230">
        <v>27150</v>
      </c>
      <c r="B357" s="236" t="s">
        <v>1827</v>
      </c>
      <c r="C357" s="228"/>
      <c r="D357" s="226">
        <v>107.95</v>
      </c>
      <c r="E357" s="226" t="s">
        <v>1047</v>
      </c>
      <c r="F357" s="234">
        <f t="shared" si="5"/>
        <v>0</v>
      </c>
    </row>
    <row r="358" spans="1:6" s="221" customFormat="1" x14ac:dyDescent="0.25">
      <c r="A358" s="230">
        <v>27160</v>
      </c>
      <c r="B358" s="236" t="s">
        <v>698</v>
      </c>
      <c r="C358" s="228"/>
      <c r="D358" s="241"/>
      <c r="E358" s="226" t="s">
        <v>1047</v>
      </c>
      <c r="F358" s="234">
        <f t="shared" si="5"/>
        <v>0</v>
      </c>
    </row>
    <row r="359" spans="1:6" s="221" customFormat="1" x14ac:dyDescent="0.25">
      <c r="A359" s="230">
        <v>27170</v>
      </c>
      <c r="B359" s="236" t="s">
        <v>1739</v>
      </c>
      <c r="C359" s="228"/>
      <c r="D359" s="226">
        <v>149.21</v>
      </c>
      <c r="E359" s="226" t="s">
        <v>1047</v>
      </c>
      <c r="F359" s="234">
        <f t="shared" si="5"/>
        <v>0</v>
      </c>
    </row>
    <row r="360" spans="1:6" s="221" customFormat="1" x14ac:dyDescent="0.25">
      <c r="A360" s="230">
        <v>27190</v>
      </c>
      <c r="B360" s="236" t="s">
        <v>1829</v>
      </c>
      <c r="C360" s="228"/>
      <c r="D360" s="241">
        <v>235</v>
      </c>
      <c r="E360" s="226" t="s">
        <v>1047</v>
      </c>
      <c r="F360" s="234">
        <f t="shared" si="5"/>
        <v>0</v>
      </c>
    </row>
    <row r="361" spans="1:6" s="221" customFormat="1" x14ac:dyDescent="0.25">
      <c r="A361" s="230">
        <v>27200</v>
      </c>
      <c r="B361" s="236" t="s">
        <v>1830</v>
      </c>
      <c r="C361" s="228"/>
      <c r="D361" s="241">
        <v>111.53</v>
      </c>
      <c r="E361" s="226" t="s">
        <v>1047</v>
      </c>
      <c r="F361" s="234">
        <f t="shared" si="5"/>
        <v>0</v>
      </c>
    </row>
    <row r="362" spans="1:6" s="221" customFormat="1" x14ac:dyDescent="0.25">
      <c r="A362" s="230">
        <v>27210</v>
      </c>
      <c r="B362" s="236" t="s">
        <v>704</v>
      </c>
      <c r="C362" s="228"/>
      <c r="D362" s="241">
        <v>215</v>
      </c>
      <c r="E362" s="226" t="s">
        <v>1047</v>
      </c>
      <c r="F362" s="234">
        <f t="shared" si="5"/>
        <v>0</v>
      </c>
    </row>
    <row r="363" spans="1:6" s="221" customFormat="1" x14ac:dyDescent="0.25">
      <c r="A363" s="230">
        <v>27220</v>
      </c>
      <c r="B363" s="236" t="s">
        <v>1831</v>
      </c>
      <c r="C363" s="228"/>
      <c r="D363" s="241">
        <v>66.650000000000006</v>
      </c>
      <c r="E363" s="226" t="s">
        <v>1047</v>
      </c>
      <c r="F363" s="234">
        <f t="shared" si="5"/>
        <v>0</v>
      </c>
    </row>
    <row r="364" spans="1:6" s="221" customFormat="1" x14ac:dyDescent="0.25">
      <c r="A364" s="230">
        <v>27230</v>
      </c>
      <c r="B364" s="236" t="s">
        <v>711</v>
      </c>
      <c r="C364" s="228"/>
      <c r="D364" s="241">
        <v>69.88</v>
      </c>
      <c r="E364" s="226" t="s">
        <v>1047</v>
      </c>
      <c r="F364" s="234">
        <f t="shared" si="5"/>
        <v>0</v>
      </c>
    </row>
    <row r="365" spans="1:6" s="221" customFormat="1" x14ac:dyDescent="0.25">
      <c r="A365" s="230">
        <v>27240</v>
      </c>
      <c r="B365" s="236" t="s">
        <v>928</v>
      </c>
      <c r="C365" s="228"/>
      <c r="D365" s="241">
        <v>77.31</v>
      </c>
      <c r="E365" s="226" t="s">
        <v>1047</v>
      </c>
      <c r="F365" s="234">
        <f t="shared" si="5"/>
        <v>0</v>
      </c>
    </row>
    <row r="366" spans="1:6" s="221" customFormat="1" x14ac:dyDescent="0.25">
      <c r="A366" s="230">
        <v>27250</v>
      </c>
      <c r="B366" s="236" t="s">
        <v>929</v>
      </c>
      <c r="C366" s="228"/>
      <c r="D366" s="241">
        <v>87.41</v>
      </c>
      <c r="E366" s="226" t="s">
        <v>1047</v>
      </c>
      <c r="F366" s="234">
        <f t="shared" si="5"/>
        <v>0</v>
      </c>
    </row>
    <row r="367" spans="1:6" s="221" customFormat="1" x14ac:dyDescent="0.25">
      <c r="A367" s="230">
        <v>27260</v>
      </c>
      <c r="B367" s="236" t="s">
        <v>1832</v>
      </c>
      <c r="C367" s="228"/>
      <c r="D367" s="241">
        <v>275</v>
      </c>
      <c r="E367" s="226" t="s">
        <v>1047</v>
      </c>
      <c r="F367" s="234">
        <f t="shared" si="5"/>
        <v>0</v>
      </c>
    </row>
    <row r="368" spans="1:6" s="221" customFormat="1" x14ac:dyDescent="0.25">
      <c r="A368" s="230">
        <v>27270</v>
      </c>
      <c r="B368" s="237" t="s">
        <v>931</v>
      </c>
      <c r="C368" s="228"/>
      <c r="D368" s="241">
        <v>0</v>
      </c>
      <c r="E368" s="226" t="s">
        <v>1047</v>
      </c>
      <c r="F368" s="234">
        <f t="shared" si="5"/>
        <v>0</v>
      </c>
    </row>
    <row r="369" spans="1:6" s="221" customFormat="1" x14ac:dyDescent="0.25">
      <c r="A369" s="230">
        <v>27280</v>
      </c>
      <c r="B369" s="236" t="s">
        <v>1833</v>
      </c>
      <c r="C369" s="228"/>
      <c r="D369" s="241">
        <v>72.81</v>
      </c>
      <c r="E369" s="226" t="s">
        <v>1047</v>
      </c>
      <c r="F369" s="234">
        <f t="shared" si="5"/>
        <v>0</v>
      </c>
    </row>
    <row r="370" spans="1:6" s="221" customFormat="1" x14ac:dyDescent="0.25">
      <c r="A370" s="230">
        <v>27290</v>
      </c>
      <c r="B370" s="236" t="s">
        <v>1834</v>
      </c>
      <c r="C370" s="228"/>
      <c r="D370" s="241">
        <v>68.709999999999994</v>
      </c>
      <c r="E370" s="226" t="s">
        <v>1047</v>
      </c>
      <c r="F370" s="234">
        <f t="shared" si="5"/>
        <v>0</v>
      </c>
    </row>
    <row r="371" spans="1:6" s="221" customFormat="1" x14ac:dyDescent="0.25">
      <c r="A371" s="230">
        <v>27300</v>
      </c>
      <c r="B371" s="236" t="s">
        <v>1835</v>
      </c>
      <c r="C371" s="228"/>
      <c r="D371" s="241">
        <v>0</v>
      </c>
      <c r="E371" s="226" t="s">
        <v>1047</v>
      </c>
      <c r="F371" s="234">
        <f t="shared" si="5"/>
        <v>0</v>
      </c>
    </row>
    <row r="372" spans="1:6" s="221" customFormat="1" x14ac:dyDescent="0.25">
      <c r="A372" s="230">
        <v>27310</v>
      </c>
      <c r="B372" s="236" t="s">
        <v>712</v>
      </c>
      <c r="C372" s="226"/>
      <c r="D372" s="241">
        <v>103.4</v>
      </c>
      <c r="E372" s="226" t="s">
        <v>1047</v>
      </c>
      <c r="F372" s="234">
        <f t="shared" si="5"/>
        <v>0</v>
      </c>
    </row>
    <row r="373" spans="1:6" s="221" customFormat="1" x14ac:dyDescent="0.25">
      <c r="A373" s="230">
        <v>27320</v>
      </c>
      <c r="B373" s="236" t="s">
        <v>935</v>
      </c>
      <c r="C373" s="226"/>
      <c r="D373" s="241">
        <v>71.760000000000005</v>
      </c>
      <c r="E373" s="226" t="s">
        <v>1047</v>
      </c>
      <c r="F373" s="234">
        <f t="shared" si="5"/>
        <v>0</v>
      </c>
    </row>
    <row r="374" spans="1:6" s="221" customFormat="1" x14ac:dyDescent="0.25">
      <c r="A374" s="230">
        <v>27330</v>
      </c>
      <c r="B374" s="236" t="s">
        <v>936</v>
      </c>
      <c r="C374" s="226"/>
      <c r="D374" s="241">
        <v>79.12</v>
      </c>
      <c r="E374" s="226" t="s">
        <v>1047</v>
      </c>
      <c r="F374" s="234">
        <f t="shared" si="5"/>
        <v>0</v>
      </c>
    </row>
    <row r="375" spans="1:6" s="221" customFormat="1" x14ac:dyDescent="0.25">
      <c r="A375" s="230">
        <v>27340</v>
      </c>
      <c r="B375" s="230" t="s">
        <v>1836</v>
      </c>
      <c r="C375" s="226"/>
      <c r="D375" s="241">
        <v>20.95</v>
      </c>
      <c r="E375" s="226" t="s">
        <v>1047</v>
      </c>
      <c r="F375" s="234">
        <f t="shared" si="5"/>
        <v>0</v>
      </c>
    </row>
    <row r="376" spans="1:6" s="221" customFormat="1" x14ac:dyDescent="0.25">
      <c r="A376" s="230">
        <v>28000</v>
      </c>
      <c r="B376" s="230" t="s">
        <v>1763</v>
      </c>
      <c r="C376" s="226"/>
      <c r="D376" s="226">
        <v>6.63</v>
      </c>
      <c r="E376" s="226" t="s">
        <v>1047</v>
      </c>
      <c r="F376" s="234">
        <f t="shared" si="5"/>
        <v>0</v>
      </c>
    </row>
    <row r="377" spans="1:6" s="221" customFormat="1" x14ac:dyDescent="0.25">
      <c r="A377" s="230">
        <v>28010</v>
      </c>
      <c r="B377" s="230" t="s">
        <v>514</v>
      </c>
      <c r="C377" s="226"/>
      <c r="D377" s="226">
        <v>5.65</v>
      </c>
      <c r="E377" s="226" t="s">
        <v>1047</v>
      </c>
      <c r="F377" s="234">
        <f t="shared" si="5"/>
        <v>0</v>
      </c>
    </row>
    <row r="378" spans="1:6" s="221" customFormat="1" x14ac:dyDescent="0.25">
      <c r="A378" s="230">
        <v>28020</v>
      </c>
      <c r="B378" s="230" t="s">
        <v>515</v>
      </c>
      <c r="C378" s="226"/>
      <c r="D378" s="226">
        <v>9.1999999999999993</v>
      </c>
      <c r="E378" s="226" t="s">
        <v>1047</v>
      </c>
      <c r="F378" s="234">
        <f t="shared" si="5"/>
        <v>0</v>
      </c>
    </row>
    <row r="379" spans="1:6" s="221" customFormat="1" x14ac:dyDescent="0.25">
      <c r="A379" s="230">
        <v>28030</v>
      </c>
      <c r="B379" s="230" t="s">
        <v>516</v>
      </c>
      <c r="C379" s="226"/>
      <c r="D379" s="226">
        <v>12.35</v>
      </c>
      <c r="E379" s="226" t="s">
        <v>1047</v>
      </c>
      <c r="F379" s="234">
        <f t="shared" si="5"/>
        <v>0</v>
      </c>
    </row>
    <row r="380" spans="1:6" s="221" customFormat="1" x14ac:dyDescent="0.25">
      <c r="A380" s="230">
        <v>28040</v>
      </c>
      <c r="B380" s="230" t="s">
        <v>517</v>
      </c>
      <c r="C380" s="226"/>
      <c r="D380" s="226">
        <v>15.8</v>
      </c>
      <c r="E380" s="226" t="s">
        <v>1047</v>
      </c>
      <c r="F380" s="234">
        <f t="shared" si="5"/>
        <v>0</v>
      </c>
    </row>
    <row r="381" spans="1:6" s="221" customFormat="1" x14ac:dyDescent="0.25">
      <c r="A381" s="230">
        <v>28050</v>
      </c>
      <c r="B381" s="230" t="s">
        <v>518</v>
      </c>
      <c r="C381" s="226"/>
      <c r="D381" s="226">
        <v>18.48</v>
      </c>
      <c r="E381" s="226" t="s">
        <v>1047</v>
      </c>
      <c r="F381" s="234">
        <f t="shared" si="5"/>
        <v>0</v>
      </c>
    </row>
    <row r="382" spans="1:6" s="221" customFormat="1" x14ac:dyDescent="0.25">
      <c r="A382" s="230">
        <v>28060</v>
      </c>
      <c r="B382" s="230" t="s">
        <v>519</v>
      </c>
      <c r="C382" s="226"/>
      <c r="D382" s="226">
        <v>15.2</v>
      </c>
      <c r="E382" s="226" t="s">
        <v>1047</v>
      </c>
      <c r="F382" s="234">
        <f t="shared" si="5"/>
        <v>0</v>
      </c>
    </row>
    <row r="383" spans="1:6" s="221" customFormat="1" x14ac:dyDescent="0.25">
      <c r="A383" s="230">
        <v>28070</v>
      </c>
      <c r="B383" s="230" t="s">
        <v>520</v>
      </c>
      <c r="C383" s="226"/>
      <c r="D383" s="226">
        <v>8.1</v>
      </c>
      <c r="E383" s="226" t="s">
        <v>1047</v>
      </c>
      <c r="F383" s="234">
        <f t="shared" si="5"/>
        <v>0</v>
      </c>
    </row>
    <row r="384" spans="1:6" s="221" customFormat="1" x14ac:dyDescent="0.25">
      <c r="A384" s="230">
        <v>28080</v>
      </c>
      <c r="B384" s="230" t="s">
        <v>521</v>
      </c>
      <c r="C384" s="226"/>
      <c r="D384" s="241">
        <v>5.05</v>
      </c>
      <c r="E384" s="226" t="s">
        <v>1047</v>
      </c>
      <c r="F384" s="234">
        <f t="shared" si="5"/>
        <v>0</v>
      </c>
    </row>
    <row r="385" spans="1:6" s="221" customFormat="1" x14ac:dyDescent="0.25">
      <c r="A385" s="230">
        <v>28090</v>
      </c>
      <c r="B385" s="230" t="s">
        <v>522</v>
      </c>
      <c r="C385" s="226"/>
      <c r="D385" s="226">
        <v>1.35</v>
      </c>
      <c r="E385" s="226" t="s">
        <v>1047</v>
      </c>
      <c r="F385" s="234">
        <f t="shared" ref="F385:F448" si="6">C385*D385</f>
        <v>0</v>
      </c>
    </row>
    <row r="386" spans="1:6" s="221" customFormat="1" x14ac:dyDescent="0.25">
      <c r="A386" s="230">
        <v>28100</v>
      </c>
      <c r="B386" s="230" t="s">
        <v>523</v>
      </c>
      <c r="C386" s="226"/>
      <c r="D386" s="226">
        <v>5.45</v>
      </c>
      <c r="E386" s="226" t="s">
        <v>1047</v>
      </c>
      <c r="F386" s="234">
        <f t="shared" si="6"/>
        <v>0</v>
      </c>
    </row>
    <row r="387" spans="1:6" s="221" customFormat="1" x14ac:dyDescent="0.25">
      <c r="A387" s="230">
        <v>28110</v>
      </c>
      <c r="B387" s="230" t="s">
        <v>968</v>
      </c>
      <c r="C387" s="226"/>
      <c r="D387" s="241">
        <v>7.43</v>
      </c>
      <c r="E387" s="226" t="s">
        <v>1047</v>
      </c>
      <c r="F387" s="234">
        <f t="shared" si="6"/>
        <v>0</v>
      </c>
    </row>
    <row r="388" spans="1:6" s="221" customFormat="1" x14ac:dyDescent="0.25">
      <c r="A388" s="230">
        <v>28120</v>
      </c>
      <c r="B388" s="230" t="s">
        <v>844</v>
      </c>
      <c r="C388" s="226"/>
      <c r="D388" s="241"/>
      <c r="E388" s="226" t="s">
        <v>1047</v>
      </c>
      <c r="F388" s="234">
        <f t="shared" si="6"/>
        <v>0</v>
      </c>
    </row>
    <row r="389" spans="1:6" s="221" customFormat="1" x14ac:dyDescent="0.25">
      <c r="A389" s="230">
        <v>28130</v>
      </c>
      <c r="B389" s="230" t="s">
        <v>735</v>
      </c>
      <c r="C389" s="226"/>
      <c r="D389" s="241"/>
      <c r="E389" s="226" t="s">
        <v>1047</v>
      </c>
      <c r="F389" s="234">
        <f t="shared" si="6"/>
        <v>0</v>
      </c>
    </row>
    <row r="390" spans="1:6" s="221" customFormat="1" x14ac:dyDescent="0.25">
      <c r="A390" s="230">
        <v>28140</v>
      </c>
      <c r="B390" s="230" t="s">
        <v>969</v>
      </c>
      <c r="C390" s="226"/>
      <c r="D390" s="241"/>
      <c r="E390" s="226" t="s">
        <v>1047</v>
      </c>
      <c r="F390" s="234">
        <f t="shared" si="6"/>
        <v>0</v>
      </c>
    </row>
    <row r="391" spans="1:6" s="221" customFormat="1" x14ac:dyDescent="0.25">
      <c r="A391" s="230">
        <v>28150</v>
      </c>
      <c r="B391" s="230" t="s">
        <v>524</v>
      </c>
      <c r="C391" s="226"/>
      <c r="D391" s="241"/>
      <c r="E391" s="226" t="s">
        <v>1047</v>
      </c>
      <c r="F391" s="234">
        <f t="shared" si="6"/>
        <v>0</v>
      </c>
    </row>
    <row r="392" spans="1:6" s="221" customFormat="1" x14ac:dyDescent="0.25">
      <c r="A392" s="230">
        <v>28160</v>
      </c>
      <c r="B392" s="230" t="s">
        <v>525</v>
      </c>
      <c r="C392" s="226"/>
      <c r="D392" s="241"/>
      <c r="E392" s="226" t="s">
        <v>1047</v>
      </c>
      <c r="F392" s="234">
        <f t="shared" si="6"/>
        <v>0</v>
      </c>
    </row>
    <row r="393" spans="1:6" s="221" customFormat="1" x14ac:dyDescent="0.25">
      <c r="A393" s="230">
        <v>28170</v>
      </c>
      <c r="B393" s="230" t="s">
        <v>526</v>
      </c>
      <c r="C393" s="226"/>
      <c r="D393" s="241"/>
      <c r="E393" s="226" t="s">
        <v>1047</v>
      </c>
      <c r="F393" s="234">
        <f t="shared" si="6"/>
        <v>0</v>
      </c>
    </row>
    <row r="394" spans="1:6" s="221" customFormat="1" x14ac:dyDescent="0.25">
      <c r="A394" s="230">
        <v>28180</v>
      </c>
      <c r="B394" s="230" t="s">
        <v>527</v>
      </c>
      <c r="C394" s="226"/>
      <c r="D394" s="241"/>
      <c r="E394" s="226" t="s">
        <v>1047</v>
      </c>
      <c r="F394" s="234">
        <f t="shared" si="6"/>
        <v>0</v>
      </c>
    </row>
    <row r="395" spans="1:6" s="221" customFormat="1" x14ac:dyDescent="0.25">
      <c r="A395" s="230">
        <v>28190</v>
      </c>
      <c r="B395" s="230" t="s">
        <v>528</v>
      </c>
      <c r="C395" s="226"/>
      <c r="D395" s="241">
        <v>17.22</v>
      </c>
      <c r="E395" s="226" t="s">
        <v>1047</v>
      </c>
      <c r="F395" s="234">
        <f t="shared" si="6"/>
        <v>0</v>
      </c>
    </row>
    <row r="396" spans="1:6" s="221" customFormat="1" x14ac:dyDescent="0.25">
      <c r="A396" s="230">
        <v>28200</v>
      </c>
      <c r="B396" s="230" t="s">
        <v>529</v>
      </c>
      <c r="C396" s="226"/>
      <c r="D396" s="241"/>
      <c r="E396" s="226" t="s">
        <v>1047</v>
      </c>
      <c r="F396" s="234">
        <f t="shared" si="6"/>
        <v>0</v>
      </c>
    </row>
    <row r="397" spans="1:6" s="221" customFormat="1" x14ac:dyDescent="0.25">
      <c r="A397" s="230">
        <v>28210</v>
      </c>
      <c r="B397" s="230" t="s">
        <v>530</v>
      </c>
      <c r="C397" s="226"/>
      <c r="D397" s="241"/>
      <c r="E397" s="226" t="s">
        <v>1047</v>
      </c>
      <c r="F397" s="234">
        <f t="shared" si="6"/>
        <v>0</v>
      </c>
    </row>
    <row r="398" spans="1:6" s="221" customFormat="1" x14ac:dyDescent="0.25">
      <c r="A398" s="230">
        <v>28220</v>
      </c>
      <c r="B398" s="230" t="s">
        <v>531</v>
      </c>
      <c r="C398" s="228"/>
      <c r="D398" s="241"/>
      <c r="E398" s="226" t="s">
        <v>1047</v>
      </c>
      <c r="F398" s="234">
        <f t="shared" si="6"/>
        <v>0</v>
      </c>
    </row>
    <row r="399" spans="1:6" s="221" customFormat="1" x14ac:dyDescent="0.25">
      <c r="A399" s="230">
        <v>28230</v>
      </c>
      <c r="B399" s="230" t="s">
        <v>736</v>
      </c>
      <c r="C399" s="228"/>
      <c r="D399" s="241"/>
      <c r="E399" s="226" t="s">
        <v>1047</v>
      </c>
      <c r="F399" s="234">
        <f t="shared" si="6"/>
        <v>0</v>
      </c>
    </row>
    <row r="400" spans="1:6" s="221" customFormat="1" x14ac:dyDescent="0.25">
      <c r="A400" s="230">
        <v>29000</v>
      </c>
      <c r="B400" s="230" t="s">
        <v>937</v>
      </c>
      <c r="C400" s="228"/>
      <c r="D400" s="241">
        <v>7.04</v>
      </c>
      <c r="E400" s="226" t="s">
        <v>1047</v>
      </c>
      <c r="F400" s="234">
        <f t="shared" si="6"/>
        <v>0</v>
      </c>
    </row>
    <row r="401" spans="1:6" s="221" customFormat="1" x14ac:dyDescent="0.25">
      <c r="A401" s="230">
        <v>29010</v>
      </c>
      <c r="B401" s="230" t="s">
        <v>446</v>
      </c>
      <c r="C401" s="228"/>
      <c r="D401" s="241">
        <v>0</v>
      </c>
      <c r="E401" s="226" t="s">
        <v>1047</v>
      </c>
      <c r="F401" s="234">
        <f t="shared" si="6"/>
        <v>0</v>
      </c>
    </row>
    <row r="402" spans="1:6" s="221" customFormat="1" x14ac:dyDescent="0.25">
      <c r="A402" s="230">
        <v>29020</v>
      </c>
      <c r="B402" s="230" t="s">
        <v>720</v>
      </c>
      <c r="C402" s="228"/>
      <c r="D402" s="241"/>
      <c r="E402" s="226" t="s">
        <v>1047</v>
      </c>
      <c r="F402" s="234">
        <f t="shared" si="6"/>
        <v>0</v>
      </c>
    </row>
    <row r="403" spans="1:6" s="221" customFormat="1" x14ac:dyDescent="0.25">
      <c r="A403" s="230">
        <v>29030</v>
      </c>
      <c r="B403" s="230" t="s">
        <v>719</v>
      </c>
      <c r="C403" s="228"/>
      <c r="D403" s="241">
        <v>3.44</v>
      </c>
      <c r="E403" s="226" t="s">
        <v>1047</v>
      </c>
      <c r="F403" s="234">
        <f t="shared" si="6"/>
        <v>0</v>
      </c>
    </row>
    <row r="404" spans="1:6" s="221" customFormat="1" x14ac:dyDescent="0.25">
      <c r="A404" s="230">
        <v>29040</v>
      </c>
      <c r="B404" s="230" t="s">
        <v>447</v>
      </c>
      <c r="C404" s="228"/>
      <c r="D404" s="241">
        <v>0</v>
      </c>
      <c r="E404" s="226" t="s">
        <v>1047</v>
      </c>
      <c r="F404" s="234">
        <f t="shared" si="6"/>
        <v>0</v>
      </c>
    </row>
    <row r="405" spans="1:6" s="221" customFormat="1" x14ac:dyDescent="0.25">
      <c r="A405" s="230">
        <v>29050</v>
      </c>
      <c r="B405" s="230" t="s">
        <v>448</v>
      </c>
      <c r="C405" s="228"/>
      <c r="D405" s="241">
        <v>0</v>
      </c>
      <c r="E405" s="226" t="s">
        <v>1047</v>
      </c>
      <c r="F405" s="234">
        <f t="shared" si="6"/>
        <v>0</v>
      </c>
    </row>
    <row r="406" spans="1:6" s="221" customFormat="1" x14ac:dyDescent="0.25">
      <c r="A406" s="230">
        <v>29060</v>
      </c>
      <c r="B406" s="230" t="s">
        <v>449</v>
      </c>
      <c r="C406" s="228"/>
      <c r="D406" s="241">
        <v>0.33</v>
      </c>
      <c r="E406" s="226" t="s">
        <v>1047</v>
      </c>
      <c r="F406" s="234">
        <f t="shared" si="6"/>
        <v>0</v>
      </c>
    </row>
    <row r="407" spans="1:6" s="221" customFormat="1" x14ac:dyDescent="0.25">
      <c r="A407" s="230">
        <v>29090</v>
      </c>
      <c r="B407" s="230" t="s">
        <v>452</v>
      </c>
      <c r="C407" s="228"/>
      <c r="D407" s="226">
        <v>0.62</v>
      </c>
      <c r="E407" s="226" t="s">
        <v>1047</v>
      </c>
      <c r="F407" s="234">
        <f t="shared" si="6"/>
        <v>0</v>
      </c>
    </row>
    <row r="408" spans="1:6" s="221" customFormat="1" x14ac:dyDescent="0.25">
      <c r="A408" s="230">
        <v>29110</v>
      </c>
      <c r="B408" s="230" t="s">
        <v>454</v>
      </c>
      <c r="C408" s="228"/>
      <c r="D408" s="226">
        <v>1.35</v>
      </c>
      <c r="E408" s="226" t="s">
        <v>1047</v>
      </c>
      <c r="F408" s="234">
        <f t="shared" si="6"/>
        <v>0</v>
      </c>
    </row>
    <row r="409" spans="1:6" s="221" customFormat="1" x14ac:dyDescent="0.25">
      <c r="A409" s="230">
        <v>29120</v>
      </c>
      <c r="B409" s="230" t="s">
        <v>455</v>
      </c>
      <c r="C409" s="228"/>
      <c r="D409" s="226">
        <v>2.0499999999999998</v>
      </c>
      <c r="E409" s="226" t="s">
        <v>1047</v>
      </c>
      <c r="F409" s="234">
        <f t="shared" si="6"/>
        <v>0</v>
      </c>
    </row>
    <row r="410" spans="1:6" s="221" customFormat="1" x14ac:dyDescent="0.25">
      <c r="A410" s="230">
        <v>29130</v>
      </c>
      <c r="B410" s="230" t="s">
        <v>456</v>
      </c>
      <c r="C410" s="228"/>
      <c r="D410" s="241">
        <v>2.2200000000000002</v>
      </c>
      <c r="E410" s="226" t="s">
        <v>1047</v>
      </c>
      <c r="F410" s="234">
        <f t="shared" si="6"/>
        <v>0</v>
      </c>
    </row>
    <row r="411" spans="1:6" s="221" customFormat="1" x14ac:dyDescent="0.25">
      <c r="A411" s="230">
        <v>29150</v>
      </c>
      <c r="B411" s="230" t="s">
        <v>458</v>
      </c>
      <c r="C411" s="228"/>
      <c r="D411" s="241">
        <v>0.85</v>
      </c>
      <c r="E411" s="226" t="s">
        <v>1047</v>
      </c>
      <c r="F411" s="234">
        <f t="shared" si="6"/>
        <v>0</v>
      </c>
    </row>
    <row r="412" spans="1:6" s="221" customFormat="1" x14ac:dyDescent="0.25">
      <c r="A412" s="230">
        <v>29160</v>
      </c>
      <c r="B412" s="230" t="s">
        <v>459</v>
      </c>
      <c r="C412" s="228"/>
      <c r="D412" s="241">
        <v>1.65</v>
      </c>
      <c r="E412" s="226" t="s">
        <v>1047</v>
      </c>
      <c r="F412" s="234">
        <f t="shared" si="6"/>
        <v>0</v>
      </c>
    </row>
    <row r="413" spans="1:6" s="221" customFormat="1" x14ac:dyDescent="0.25">
      <c r="A413" s="230">
        <v>29170</v>
      </c>
      <c r="B413" s="230" t="s">
        <v>460</v>
      </c>
      <c r="C413" s="228"/>
      <c r="D413" s="241">
        <v>2.08</v>
      </c>
      <c r="E413" s="226" t="s">
        <v>1047</v>
      </c>
      <c r="F413" s="234">
        <f t="shared" si="6"/>
        <v>0</v>
      </c>
    </row>
    <row r="414" spans="1:6" s="221" customFormat="1" x14ac:dyDescent="0.25">
      <c r="A414" s="230">
        <v>29180</v>
      </c>
      <c r="B414" s="230" t="s">
        <v>461</v>
      </c>
      <c r="C414" s="228"/>
      <c r="D414" s="241">
        <v>3.85</v>
      </c>
      <c r="E414" s="226" t="s">
        <v>1047</v>
      </c>
      <c r="F414" s="234">
        <f t="shared" si="6"/>
        <v>0</v>
      </c>
    </row>
    <row r="415" spans="1:6" s="221" customFormat="1" x14ac:dyDescent="0.25">
      <c r="A415" s="230">
        <v>29190</v>
      </c>
      <c r="B415" s="230" t="s">
        <v>462</v>
      </c>
      <c r="C415" s="228"/>
      <c r="D415" s="241">
        <v>1.66</v>
      </c>
      <c r="E415" s="226" t="s">
        <v>1047</v>
      </c>
      <c r="F415" s="234">
        <f t="shared" si="6"/>
        <v>0</v>
      </c>
    </row>
    <row r="416" spans="1:6" s="221" customFormat="1" x14ac:dyDescent="0.25">
      <c r="A416" s="230">
        <v>29200</v>
      </c>
      <c r="B416" s="230" t="s">
        <v>463</v>
      </c>
      <c r="C416" s="228"/>
      <c r="D416" s="241">
        <v>1.66</v>
      </c>
      <c r="E416" s="226" t="s">
        <v>1047</v>
      </c>
      <c r="F416" s="234">
        <f t="shared" si="6"/>
        <v>0</v>
      </c>
    </row>
    <row r="417" spans="1:6" s="221" customFormat="1" x14ac:dyDescent="0.25">
      <c r="A417" s="230">
        <v>29220</v>
      </c>
      <c r="B417" s="230" t="s">
        <v>465</v>
      </c>
      <c r="C417" s="228"/>
      <c r="D417" s="241">
        <v>1.58</v>
      </c>
      <c r="E417" s="226" t="s">
        <v>1047</v>
      </c>
      <c r="F417" s="234">
        <f t="shared" si="6"/>
        <v>0</v>
      </c>
    </row>
    <row r="418" spans="1:6" s="221" customFormat="1" x14ac:dyDescent="0.25">
      <c r="A418" s="230">
        <v>29230</v>
      </c>
      <c r="B418" s="230" t="s">
        <v>466</v>
      </c>
      <c r="C418" s="228"/>
      <c r="D418" s="241">
        <v>2.4700000000000002</v>
      </c>
      <c r="E418" s="226" t="s">
        <v>1047</v>
      </c>
      <c r="F418" s="234">
        <f t="shared" si="6"/>
        <v>0</v>
      </c>
    </row>
    <row r="419" spans="1:6" s="221" customFormat="1" x14ac:dyDescent="0.25">
      <c r="A419" s="230">
        <v>29240</v>
      </c>
      <c r="B419" s="230" t="s">
        <v>467</v>
      </c>
      <c r="C419" s="228"/>
      <c r="D419" s="241">
        <v>2.95</v>
      </c>
      <c r="E419" s="226" t="s">
        <v>1047</v>
      </c>
      <c r="F419" s="234">
        <f t="shared" si="6"/>
        <v>0</v>
      </c>
    </row>
    <row r="420" spans="1:6" s="221" customFormat="1" x14ac:dyDescent="0.25">
      <c r="A420" s="230">
        <v>29250</v>
      </c>
      <c r="B420" s="230" t="s">
        <v>713</v>
      </c>
      <c r="C420" s="228"/>
      <c r="D420" s="241">
        <v>5.83</v>
      </c>
      <c r="E420" s="226" t="s">
        <v>1047</v>
      </c>
      <c r="F420" s="234">
        <f t="shared" si="6"/>
        <v>0</v>
      </c>
    </row>
    <row r="421" spans="1:6" s="221" customFormat="1" x14ac:dyDescent="0.25">
      <c r="A421" s="230">
        <v>29260</v>
      </c>
      <c r="B421" s="230" t="s">
        <v>938</v>
      </c>
      <c r="C421" s="228"/>
      <c r="D421" s="241">
        <v>0</v>
      </c>
      <c r="E421" s="226" t="s">
        <v>1047</v>
      </c>
      <c r="F421" s="234">
        <f t="shared" si="6"/>
        <v>0</v>
      </c>
    </row>
    <row r="422" spans="1:6" s="221" customFormat="1" x14ac:dyDescent="0.25">
      <c r="A422" s="230">
        <v>29270</v>
      </c>
      <c r="B422" s="230" t="s">
        <v>468</v>
      </c>
      <c r="C422" s="228"/>
      <c r="D422" s="241">
        <v>1.56</v>
      </c>
      <c r="E422" s="226" t="s">
        <v>1047</v>
      </c>
      <c r="F422" s="234">
        <f t="shared" si="6"/>
        <v>0</v>
      </c>
    </row>
    <row r="423" spans="1:6" s="221" customFormat="1" x14ac:dyDescent="0.25">
      <c r="A423" s="230">
        <v>29280</v>
      </c>
      <c r="B423" s="230" t="s">
        <v>469</v>
      </c>
      <c r="C423" s="228"/>
      <c r="D423" s="241">
        <v>0</v>
      </c>
      <c r="E423" s="226" t="s">
        <v>1047</v>
      </c>
      <c r="F423" s="234">
        <f t="shared" si="6"/>
        <v>0</v>
      </c>
    </row>
    <row r="424" spans="1:6" s="221" customFormat="1" x14ac:dyDescent="0.25">
      <c r="A424" s="230">
        <v>29290</v>
      </c>
      <c r="B424" s="230" t="s">
        <v>470</v>
      </c>
      <c r="C424" s="228"/>
      <c r="D424" s="241">
        <v>0</v>
      </c>
      <c r="E424" s="226" t="s">
        <v>1047</v>
      </c>
      <c r="F424" s="234">
        <f t="shared" si="6"/>
        <v>0</v>
      </c>
    </row>
    <row r="425" spans="1:6" s="221" customFormat="1" x14ac:dyDescent="0.25">
      <c r="A425" s="230">
        <v>29300</v>
      </c>
      <c r="B425" s="230" t="s">
        <v>471</v>
      </c>
      <c r="C425" s="228"/>
      <c r="D425" s="241">
        <v>0</v>
      </c>
      <c r="E425" s="226" t="s">
        <v>1047</v>
      </c>
      <c r="F425" s="234">
        <f t="shared" si="6"/>
        <v>0</v>
      </c>
    </row>
    <row r="426" spans="1:6" s="221" customFormat="1" x14ac:dyDescent="0.25">
      <c r="A426" s="230">
        <v>29310</v>
      </c>
      <c r="B426" s="230" t="s">
        <v>472</v>
      </c>
      <c r="C426" s="228"/>
      <c r="D426" s="241">
        <v>0</v>
      </c>
      <c r="E426" s="226" t="s">
        <v>1047</v>
      </c>
      <c r="F426" s="234">
        <f t="shared" si="6"/>
        <v>0</v>
      </c>
    </row>
    <row r="427" spans="1:6" s="221" customFormat="1" x14ac:dyDescent="0.25">
      <c r="A427" s="230">
        <v>29320</v>
      </c>
      <c r="B427" s="230" t="s">
        <v>473</v>
      </c>
      <c r="C427" s="228"/>
      <c r="D427" s="241">
        <v>0</v>
      </c>
      <c r="E427" s="226" t="s">
        <v>1047</v>
      </c>
      <c r="F427" s="234">
        <f t="shared" si="6"/>
        <v>0</v>
      </c>
    </row>
    <row r="428" spans="1:6" s="221" customFormat="1" x14ac:dyDescent="0.25">
      <c r="A428" s="230">
        <v>29330</v>
      </c>
      <c r="B428" s="230" t="s">
        <v>474</v>
      </c>
      <c r="C428" s="228"/>
      <c r="D428" s="241">
        <v>0</v>
      </c>
      <c r="E428" s="226" t="s">
        <v>1047</v>
      </c>
      <c r="F428" s="234">
        <f t="shared" si="6"/>
        <v>0</v>
      </c>
    </row>
    <row r="429" spans="1:6" s="221" customFormat="1" x14ac:dyDescent="0.25">
      <c r="A429" s="230">
        <v>29340</v>
      </c>
      <c r="B429" s="230" t="s">
        <v>475</v>
      </c>
      <c r="C429" s="228"/>
      <c r="D429" s="241">
        <v>0</v>
      </c>
      <c r="E429" s="226" t="s">
        <v>1047</v>
      </c>
      <c r="F429" s="234">
        <f t="shared" si="6"/>
        <v>0</v>
      </c>
    </row>
    <row r="430" spans="1:6" s="221" customFormat="1" x14ac:dyDescent="0.25">
      <c r="A430" s="230">
        <v>29350</v>
      </c>
      <c r="B430" s="230" t="s">
        <v>939</v>
      </c>
      <c r="C430" s="228"/>
      <c r="D430" s="241">
        <v>173.15</v>
      </c>
      <c r="E430" s="226" t="s">
        <v>1047</v>
      </c>
      <c r="F430" s="234">
        <f t="shared" si="6"/>
        <v>0</v>
      </c>
    </row>
    <row r="431" spans="1:6" s="221" customFormat="1" x14ac:dyDescent="0.25">
      <c r="A431" s="230">
        <v>29360</v>
      </c>
      <c r="B431" s="230" t="s">
        <v>714</v>
      </c>
      <c r="C431" s="228"/>
      <c r="D431" s="241">
        <v>146.51</v>
      </c>
      <c r="E431" s="226" t="s">
        <v>1047</v>
      </c>
      <c r="F431" s="234">
        <f t="shared" si="6"/>
        <v>0</v>
      </c>
    </row>
    <row r="432" spans="1:6" s="221" customFormat="1" x14ac:dyDescent="0.25">
      <c r="A432" s="230">
        <v>29370</v>
      </c>
      <c r="B432" s="226" t="s">
        <v>1752</v>
      </c>
      <c r="C432" s="228"/>
      <c r="D432" s="241">
        <v>370.44</v>
      </c>
      <c r="E432" s="226" t="s">
        <v>1047</v>
      </c>
      <c r="F432" s="234">
        <f t="shared" si="6"/>
        <v>0</v>
      </c>
    </row>
    <row r="433" spans="1:8" s="221" customFormat="1" x14ac:dyDescent="0.25">
      <c r="A433" s="230">
        <v>29380</v>
      </c>
      <c r="B433" s="230" t="s">
        <v>715</v>
      </c>
      <c r="C433" s="228"/>
      <c r="D433" s="241">
        <v>78.989999999999995</v>
      </c>
      <c r="E433" s="226" t="s">
        <v>1047</v>
      </c>
      <c r="F433" s="234">
        <f t="shared" si="6"/>
        <v>0</v>
      </c>
    </row>
    <row r="434" spans="1:8" s="221" customFormat="1" x14ac:dyDescent="0.25">
      <c r="A434" s="230">
        <v>29390</v>
      </c>
      <c r="B434" s="230" t="s">
        <v>476</v>
      </c>
      <c r="C434" s="260"/>
      <c r="D434" s="241">
        <v>162.30000000000001</v>
      </c>
      <c r="E434" s="262" t="s">
        <v>1047</v>
      </c>
      <c r="F434" s="234">
        <f t="shared" si="6"/>
        <v>0</v>
      </c>
    </row>
    <row r="435" spans="1:8" s="221" customFormat="1" x14ac:dyDescent="0.25">
      <c r="A435" s="230">
        <v>29400</v>
      </c>
      <c r="B435" s="230" t="s">
        <v>477</v>
      </c>
      <c r="C435" s="228"/>
      <c r="D435" s="226">
        <v>124.35</v>
      </c>
      <c r="E435" s="226" t="s">
        <v>1047</v>
      </c>
      <c r="F435" s="234">
        <f t="shared" si="6"/>
        <v>0</v>
      </c>
    </row>
    <row r="436" spans="1:8" s="221" customFormat="1" x14ac:dyDescent="0.25">
      <c r="A436" s="263">
        <v>29410</v>
      </c>
      <c r="B436" s="263" t="s">
        <v>1776</v>
      </c>
      <c r="C436" s="228"/>
      <c r="D436" s="226">
        <v>165.85</v>
      </c>
      <c r="E436" s="226" t="s">
        <v>1047</v>
      </c>
      <c r="F436" s="234">
        <f t="shared" si="6"/>
        <v>0</v>
      </c>
    </row>
    <row r="437" spans="1:8" s="221" customFormat="1" x14ac:dyDescent="0.25">
      <c r="A437" s="263">
        <v>29410</v>
      </c>
      <c r="B437" s="263" t="s">
        <v>478</v>
      </c>
      <c r="C437" s="228"/>
      <c r="D437" s="226">
        <v>183.63</v>
      </c>
      <c r="E437" s="226" t="s">
        <v>1047</v>
      </c>
      <c r="F437" s="234">
        <f t="shared" si="6"/>
        <v>0</v>
      </c>
    </row>
    <row r="438" spans="1:8" s="221" customFormat="1" x14ac:dyDescent="0.25">
      <c r="A438" s="230">
        <v>29440</v>
      </c>
      <c r="B438" s="230" t="s">
        <v>481</v>
      </c>
      <c r="C438" s="228"/>
      <c r="D438" s="241">
        <v>375</v>
      </c>
      <c r="E438" s="226" t="s">
        <v>1047</v>
      </c>
      <c r="F438" s="234">
        <f t="shared" si="6"/>
        <v>0</v>
      </c>
      <c r="G438" s="238"/>
      <c r="H438" s="238"/>
    </row>
    <row r="439" spans="1:8" s="221" customFormat="1" x14ac:dyDescent="0.25">
      <c r="A439" s="230">
        <v>29450</v>
      </c>
      <c r="B439" s="230" t="s">
        <v>1777</v>
      </c>
      <c r="C439" s="228"/>
      <c r="D439" s="241">
        <v>3.1</v>
      </c>
      <c r="E439" s="226" t="s">
        <v>1047</v>
      </c>
      <c r="F439" s="234">
        <f t="shared" si="6"/>
        <v>0</v>
      </c>
      <c r="G439" s="238"/>
      <c r="H439" s="238"/>
    </row>
    <row r="440" spans="1:8" s="221" customFormat="1" x14ac:dyDescent="0.25">
      <c r="A440" s="230">
        <v>29460</v>
      </c>
      <c r="B440" s="230" t="s">
        <v>1778</v>
      </c>
      <c r="C440" s="228"/>
      <c r="D440" s="226">
        <v>2.02</v>
      </c>
      <c r="E440" s="226" t="s">
        <v>1047</v>
      </c>
      <c r="F440" s="234">
        <f t="shared" si="6"/>
        <v>0</v>
      </c>
      <c r="G440" s="238"/>
      <c r="H440" s="238"/>
    </row>
    <row r="441" spans="1:8" s="221" customFormat="1" x14ac:dyDescent="0.25">
      <c r="A441" s="230">
        <v>29470</v>
      </c>
      <c r="B441" s="230" t="s">
        <v>1779</v>
      </c>
      <c r="C441" s="228"/>
      <c r="D441" s="226">
        <v>2.0699999999999998</v>
      </c>
      <c r="E441" s="226" t="s">
        <v>1047</v>
      </c>
      <c r="F441" s="234">
        <f t="shared" si="6"/>
        <v>0</v>
      </c>
      <c r="G441" s="238"/>
      <c r="H441" s="238"/>
    </row>
    <row r="442" spans="1:8" s="221" customFormat="1" x14ac:dyDescent="0.25">
      <c r="A442" s="230">
        <v>29490</v>
      </c>
      <c r="B442" s="230" t="s">
        <v>1781</v>
      </c>
      <c r="C442" s="228"/>
      <c r="D442" s="226">
        <v>2.48</v>
      </c>
      <c r="E442" s="226" t="s">
        <v>1047</v>
      </c>
      <c r="F442" s="234">
        <f t="shared" si="6"/>
        <v>0</v>
      </c>
      <c r="G442" s="238"/>
      <c r="H442" s="238"/>
    </row>
    <row r="443" spans="1:8" s="221" customFormat="1" x14ac:dyDescent="0.25">
      <c r="A443" s="230">
        <v>29500</v>
      </c>
      <c r="B443" s="230" t="s">
        <v>484</v>
      </c>
      <c r="C443" s="228"/>
      <c r="D443" s="241"/>
      <c r="E443" s="226" t="s">
        <v>1047</v>
      </c>
      <c r="F443" s="234">
        <f t="shared" si="6"/>
        <v>0</v>
      </c>
      <c r="G443" s="238"/>
      <c r="H443" s="238"/>
    </row>
    <row r="444" spans="1:8" s="221" customFormat="1" x14ac:dyDescent="0.25">
      <c r="A444" s="230">
        <v>29510</v>
      </c>
      <c r="B444" s="230" t="s">
        <v>721</v>
      </c>
      <c r="C444" s="228"/>
      <c r="D444" s="241"/>
      <c r="E444" s="226" t="s">
        <v>1047</v>
      </c>
      <c r="F444" s="234">
        <f t="shared" si="6"/>
        <v>0</v>
      </c>
      <c r="G444" s="238"/>
      <c r="H444" s="238"/>
    </row>
    <row r="445" spans="1:8" s="221" customFormat="1" x14ac:dyDescent="0.25">
      <c r="A445" s="230">
        <v>29540</v>
      </c>
      <c r="B445" s="230" t="s">
        <v>722</v>
      </c>
      <c r="C445" s="228"/>
      <c r="D445" s="241"/>
      <c r="E445" s="226" t="s">
        <v>1047</v>
      </c>
      <c r="F445" s="234">
        <f t="shared" si="6"/>
        <v>0</v>
      </c>
    </row>
    <row r="446" spans="1:8" s="221" customFormat="1" x14ac:dyDescent="0.25">
      <c r="A446" s="230">
        <v>29550</v>
      </c>
      <c r="B446" s="230" t="s">
        <v>487</v>
      </c>
      <c r="C446" s="228"/>
      <c r="D446" s="241"/>
      <c r="E446" s="226" t="s">
        <v>1047</v>
      </c>
      <c r="F446" s="234">
        <f t="shared" si="6"/>
        <v>0</v>
      </c>
      <c r="G446" s="238"/>
      <c r="H446" s="238"/>
    </row>
    <row r="447" spans="1:8" s="221" customFormat="1" x14ac:dyDescent="0.25">
      <c r="A447" s="230">
        <v>29560</v>
      </c>
      <c r="B447" s="230" t="s">
        <v>723</v>
      </c>
      <c r="C447" s="228"/>
      <c r="D447" s="241"/>
      <c r="E447" s="226" t="s">
        <v>1047</v>
      </c>
      <c r="F447" s="234">
        <f t="shared" si="6"/>
        <v>0</v>
      </c>
      <c r="G447" s="238"/>
      <c r="H447" s="238"/>
    </row>
    <row r="448" spans="1:8" s="221" customFormat="1" x14ac:dyDescent="0.25">
      <c r="A448" s="230">
        <v>30020</v>
      </c>
      <c r="B448" s="230" t="s">
        <v>941</v>
      </c>
      <c r="C448" s="228"/>
      <c r="D448" s="226">
        <v>4.0199999999999996</v>
      </c>
      <c r="E448" s="226" t="s">
        <v>1047</v>
      </c>
      <c r="F448" s="234">
        <f t="shared" si="6"/>
        <v>0</v>
      </c>
      <c r="G448" s="238"/>
      <c r="H448" s="238"/>
    </row>
    <row r="449" spans="1:8" s="221" customFormat="1" x14ac:dyDescent="0.25">
      <c r="A449" s="230">
        <v>30030</v>
      </c>
      <c r="B449" s="230" t="s">
        <v>942</v>
      </c>
      <c r="C449" s="228"/>
      <c r="D449" s="226">
        <v>3.78</v>
      </c>
      <c r="E449" s="226" t="s">
        <v>1047</v>
      </c>
      <c r="F449" s="234">
        <f t="shared" ref="F449:F512" si="7">C449*D449</f>
        <v>0</v>
      </c>
      <c r="G449" s="238"/>
      <c r="H449" s="238"/>
    </row>
    <row r="450" spans="1:8" s="221" customFormat="1" x14ac:dyDescent="0.25">
      <c r="A450" s="230">
        <v>30040</v>
      </c>
      <c r="B450" s="230" t="s">
        <v>943</v>
      </c>
      <c r="C450" s="228"/>
      <c r="D450" s="226">
        <v>4.45</v>
      </c>
      <c r="E450" s="226" t="s">
        <v>1047</v>
      </c>
      <c r="F450" s="234">
        <f t="shared" si="7"/>
        <v>0</v>
      </c>
      <c r="G450" s="238"/>
      <c r="H450" s="238"/>
    </row>
    <row r="451" spans="1:8" s="221" customFormat="1" x14ac:dyDescent="0.25">
      <c r="A451" s="230">
        <v>30050</v>
      </c>
      <c r="B451" s="230" t="s">
        <v>944</v>
      </c>
      <c r="C451" s="228"/>
      <c r="D451" s="241">
        <v>4.01</v>
      </c>
      <c r="E451" s="226" t="s">
        <v>1047</v>
      </c>
      <c r="F451" s="234">
        <f t="shared" si="7"/>
        <v>0</v>
      </c>
      <c r="G451" s="238"/>
      <c r="H451" s="238"/>
    </row>
    <row r="452" spans="1:8" s="221" customFormat="1" x14ac:dyDescent="0.25">
      <c r="A452" s="230">
        <v>30060</v>
      </c>
      <c r="B452" s="230" t="s">
        <v>945</v>
      </c>
      <c r="C452" s="228"/>
      <c r="D452" s="241"/>
      <c r="E452" s="226" t="s">
        <v>1047</v>
      </c>
      <c r="F452" s="234">
        <f t="shared" si="7"/>
        <v>0</v>
      </c>
      <c r="G452" s="238"/>
      <c r="H452" s="238"/>
    </row>
    <row r="453" spans="1:8" s="221" customFormat="1" x14ac:dyDescent="0.25">
      <c r="A453" s="230">
        <v>30070</v>
      </c>
      <c r="B453" s="230" t="s">
        <v>489</v>
      </c>
      <c r="C453" s="228"/>
      <c r="D453" s="241">
        <v>8.42</v>
      </c>
      <c r="E453" s="226" t="s">
        <v>1047</v>
      </c>
      <c r="F453" s="234">
        <f t="shared" si="7"/>
        <v>0</v>
      </c>
      <c r="G453" s="238"/>
      <c r="H453" s="238"/>
    </row>
    <row r="454" spans="1:8" s="221" customFormat="1" x14ac:dyDescent="0.25">
      <c r="A454" s="230">
        <v>30080</v>
      </c>
      <c r="B454" s="230" t="s">
        <v>490</v>
      </c>
      <c r="C454" s="228"/>
      <c r="D454" s="241">
        <v>7.39</v>
      </c>
      <c r="E454" s="226" t="s">
        <v>1047</v>
      </c>
      <c r="F454" s="234">
        <f t="shared" si="7"/>
        <v>0</v>
      </c>
    </row>
    <row r="455" spans="1:8" s="221" customFormat="1" x14ac:dyDescent="0.25">
      <c r="A455" s="230">
        <v>30090</v>
      </c>
      <c r="B455" s="230" t="s">
        <v>491</v>
      </c>
      <c r="C455" s="228"/>
      <c r="D455" s="241">
        <v>14.96</v>
      </c>
      <c r="E455" s="226" t="s">
        <v>1047</v>
      </c>
      <c r="F455" s="234">
        <f t="shared" si="7"/>
        <v>0</v>
      </c>
      <c r="G455" s="239"/>
      <c r="H455" s="239"/>
    </row>
    <row r="456" spans="1:8" s="221" customFormat="1" x14ac:dyDescent="0.25">
      <c r="A456" s="230">
        <v>30100</v>
      </c>
      <c r="B456" s="230" t="s">
        <v>724</v>
      </c>
      <c r="C456" s="228"/>
      <c r="D456" s="226">
        <v>2.97</v>
      </c>
      <c r="E456" s="226" t="s">
        <v>1047</v>
      </c>
      <c r="F456" s="234">
        <f t="shared" si="7"/>
        <v>0</v>
      </c>
      <c r="G456" s="238"/>
      <c r="H456" s="238"/>
    </row>
    <row r="457" spans="1:8" s="221" customFormat="1" x14ac:dyDescent="0.25">
      <c r="A457" s="230">
        <v>30110</v>
      </c>
      <c r="B457" s="230" t="s">
        <v>946</v>
      </c>
      <c r="C457" s="228"/>
      <c r="D457" s="241"/>
      <c r="E457" s="226" t="s">
        <v>1047</v>
      </c>
      <c r="F457" s="234">
        <f t="shared" si="7"/>
        <v>0</v>
      </c>
      <c r="G457" s="238"/>
      <c r="H457" s="238"/>
    </row>
    <row r="458" spans="1:8" s="221" customFormat="1" x14ac:dyDescent="0.25">
      <c r="A458" s="230">
        <v>30120</v>
      </c>
      <c r="B458" s="230" t="s">
        <v>947</v>
      </c>
      <c r="C458" s="228"/>
      <c r="D458" s="241"/>
      <c r="E458" s="226" t="s">
        <v>1047</v>
      </c>
      <c r="F458" s="234">
        <f t="shared" si="7"/>
        <v>0</v>
      </c>
      <c r="G458" s="238"/>
      <c r="H458" s="238"/>
    </row>
    <row r="459" spans="1:8" s="221" customFormat="1" x14ac:dyDescent="0.25">
      <c r="A459" s="230">
        <v>30160</v>
      </c>
      <c r="B459" s="230" t="s">
        <v>728</v>
      </c>
      <c r="C459" s="228"/>
      <c r="D459" s="241">
        <v>5.0999999999999996</v>
      </c>
      <c r="E459" s="226" t="s">
        <v>1047</v>
      </c>
      <c r="F459" s="234">
        <f t="shared" si="7"/>
        <v>0</v>
      </c>
      <c r="G459" s="238"/>
      <c r="H459" s="238"/>
    </row>
    <row r="460" spans="1:8" s="221" customFormat="1" x14ac:dyDescent="0.25">
      <c r="A460" s="230">
        <v>30180</v>
      </c>
      <c r="B460" s="230" t="s">
        <v>729</v>
      </c>
      <c r="C460" s="228"/>
      <c r="D460" s="226">
        <v>2.2000000000000002</v>
      </c>
      <c r="E460" s="226" t="s">
        <v>1047</v>
      </c>
      <c r="F460" s="234">
        <f t="shared" si="7"/>
        <v>0</v>
      </c>
      <c r="G460" s="238"/>
      <c r="H460" s="238"/>
    </row>
    <row r="461" spans="1:8" s="221" customFormat="1" x14ac:dyDescent="0.25">
      <c r="A461" s="263">
        <v>30185</v>
      </c>
      <c r="B461" s="263" t="s">
        <v>1782</v>
      </c>
      <c r="C461" s="228"/>
      <c r="D461" s="226">
        <v>2.35</v>
      </c>
      <c r="E461" s="226" t="s">
        <v>1047</v>
      </c>
      <c r="F461" s="234">
        <f t="shared" si="7"/>
        <v>0</v>
      </c>
      <c r="G461" s="238"/>
      <c r="H461" s="238"/>
    </row>
    <row r="462" spans="1:8" s="221" customFormat="1" x14ac:dyDescent="0.25">
      <c r="A462" s="230">
        <v>30190</v>
      </c>
      <c r="B462" s="230" t="s">
        <v>730</v>
      </c>
      <c r="C462" s="228"/>
      <c r="D462" s="226">
        <v>2.2000000000000002</v>
      </c>
      <c r="E462" s="226" t="s">
        <v>1047</v>
      </c>
      <c r="F462" s="234">
        <f t="shared" si="7"/>
        <v>0</v>
      </c>
      <c r="G462" s="238"/>
      <c r="H462" s="238"/>
    </row>
    <row r="463" spans="1:8" s="221" customFormat="1" x14ac:dyDescent="0.25">
      <c r="A463" s="230">
        <v>30200</v>
      </c>
      <c r="B463" s="236" t="s">
        <v>949</v>
      </c>
      <c r="C463" s="230"/>
      <c r="D463" s="226">
        <v>2.4300000000000002</v>
      </c>
      <c r="E463" s="226" t="s">
        <v>1047</v>
      </c>
      <c r="F463" s="234">
        <f t="shared" si="7"/>
        <v>0</v>
      </c>
      <c r="G463" s="238"/>
      <c r="H463" s="238"/>
    </row>
    <row r="464" spans="1:8" s="221" customFormat="1" x14ac:dyDescent="0.25">
      <c r="A464" s="230">
        <v>30210</v>
      </c>
      <c r="B464" s="230" t="s">
        <v>950</v>
      </c>
      <c r="C464" s="228"/>
      <c r="D464" s="226">
        <v>1.95</v>
      </c>
      <c r="E464" s="226" t="s">
        <v>1047</v>
      </c>
      <c r="F464" s="234">
        <f t="shared" si="7"/>
        <v>0</v>
      </c>
      <c r="G464" s="238"/>
      <c r="H464" s="238"/>
    </row>
    <row r="465" spans="1:8" s="221" customFormat="1" x14ac:dyDescent="0.25">
      <c r="A465" s="230">
        <v>30220</v>
      </c>
      <c r="B465" s="230" t="s">
        <v>951</v>
      </c>
      <c r="C465" s="228"/>
      <c r="D465" s="226">
        <v>2.65</v>
      </c>
      <c r="E465" s="226" t="s">
        <v>1047</v>
      </c>
      <c r="F465" s="234">
        <f t="shared" si="7"/>
        <v>0</v>
      </c>
      <c r="G465" s="238"/>
      <c r="H465" s="238"/>
    </row>
    <row r="466" spans="1:8" s="221" customFormat="1" x14ac:dyDescent="0.25">
      <c r="A466" s="230">
        <v>30230</v>
      </c>
      <c r="B466" s="230" t="s">
        <v>952</v>
      </c>
      <c r="C466" s="228"/>
      <c r="D466" s="226">
        <v>2.73</v>
      </c>
      <c r="E466" s="226" t="s">
        <v>1047</v>
      </c>
      <c r="F466" s="234">
        <f t="shared" si="7"/>
        <v>0</v>
      </c>
      <c r="G466" s="238"/>
      <c r="H466" s="238"/>
    </row>
    <row r="467" spans="1:8" s="221" customFormat="1" x14ac:dyDescent="0.25">
      <c r="A467" s="230">
        <v>30240</v>
      </c>
      <c r="B467" s="230" t="s">
        <v>953</v>
      </c>
      <c r="C467" s="228"/>
      <c r="D467" s="226">
        <v>3.48</v>
      </c>
      <c r="E467" s="226" t="s">
        <v>1047</v>
      </c>
      <c r="F467" s="234">
        <f t="shared" si="7"/>
        <v>0</v>
      </c>
      <c r="G467" s="238"/>
      <c r="H467" s="238"/>
    </row>
    <row r="468" spans="1:8" s="221" customFormat="1" x14ac:dyDescent="0.25">
      <c r="A468" s="230">
        <v>30260</v>
      </c>
      <c r="B468" s="230" t="s">
        <v>1837</v>
      </c>
      <c r="C468" s="228"/>
      <c r="D468" s="226"/>
      <c r="E468" s="226" t="s">
        <v>1047</v>
      </c>
      <c r="F468" s="234">
        <f t="shared" si="7"/>
        <v>0</v>
      </c>
      <c r="G468" s="238"/>
      <c r="H468" s="238"/>
    </row>
    <row r="469" spans="1:8" s="221" customFormat="1" x14ac:dyDescent="0.25">
      <c r="A469" s="230">
        <v>30300</v>
      </c>
      <c r="B469" s="230" t="s">
        <v>956</v>
      </c>
      <c r="C469" s="228"/>
      <c r="D469" s="226">
        <v>7.99</v>
      </c>
      <c r="E469" s="226" t="s">
        <v>1047</v>
      </c>
      <c r="F469" s="234">
        <f t="shared" si="7"/>
        <v>0</v>
      </c>
      <c r="G469" s="238"/>
      <c r="H469" s="238"/>
    </row>
    <row r="470" spans="1:8" s="221" customFormat="1" x14ac:dyDescent="0.25">
      <c r="A470" s="230">
        <v>30310</v>
      </c>
      <c r="B470" s="230" t="s">
        <v>958</v>
      </c>
      <c r="C470" s="228"/>
      <c r="D470" s="226">
        <v>6.48</v>
      </c>
      <c r="E470" s="226" t="s">
        <v>1047</v>
      </c>
      <c r="F470" s="234">
        <f t="shared" si="7"/>
        <v>0</v>
      </c>
      <c r="G470" s="238"/>
      <c r="H470" s="238"/>
    </row>
    <row r="471" spans="1:8" s="221" customFormat="1" x14ac:dyDescent="0.25">
      <c r="A471" s="230">
        <v>30320</v>
      </c>
      <c r="B471" s="230" t="s">
        <v>732</v>
      </c>
      <c r="C471" s="228"/>
      <c r="D471" s="226">
        <v>8.77</v>
      </c>
      <c r="E471" s="226" t="s">
        <v>1047</v>
      </c>
      <c r="F471" s="234">
        <f t="shared" si="7"/>
        <v>0</v>
      </c>
      <c r="G471" s="238"/>
      <c r="H471" s="238"/>
    </row>
    <row r="472" spans="1:8" s="221" customFormat="1" x14ac:dyDescent="0.25">
      <c r="A472" s="230">
        <v>30330</v>
      </c>
      <c r="B472" s="230" t="s">
        <v>494</v>
      </c>
      <c r="C472" s="228"/>
      <c r="D472" s="226">
        <v>9.27</v>
      </c>
      <c r="E472" s="226" t="s">
        <v>1047</v>
      </c>
      <c r="F472" s="234">
        <f t="shared" si="7"/>
        <v>0</v>
      </c>
      <c r="G472" s="238"/>
      <c r="H472" s="238"/>
    </row>
    <row r="473" spans="1:8" s="221" customFormat="1" x14ac:dyDescent="0.25">
      <c r="A473" s="230">
        <v>30340</v>
      </c>
      <c r="B473" s="230" t="s">
        <v>957</v>
      </c>
      <c r="C473" s="228"/>
      <c r="D473" s="226">
        <v>11.6</v>
      </c>
      <c r="E473" s="226" t="s">
        <v>1047</v>
      </c>
      <c r="F473" s="234">
        <f t="shared" si="7"/>
        <v>0</v>
      </c>
      <c r="G473" s="238"/>
      <c r="H473" s="238"/>
    </row>
    <row r="474" spans="1:8" s="221" customFormat="1" x14ac:dyDescent="0.25">
      <c r="A474" s="230">
        <v>30350</v>
      </c>
      <c r="B474" s="230" t="s">
        <v>733</v>
      </c>
      <c r="C474" s="228"/>
      <c r="D474" s="226">
        <v>8.36</v>
      </c>
      <c r="E474" s="226" t="s">
        <v>1047</v>
      </c>
      <c r="F474" s="234">
        <f t="shared" si="7"/>
        <v>0</v>
      </c>
    </row>
    <row r="475" spans="1:8" s="221" customFormat="1" x14ac:dyDescent="0.25">
      <c r="A475" s="230">
        <v>30360</v>
      </c>
      <c r="B475" s="230" t="s">
        <v>960</v>
      </c>
      <c r="C475" s="228"/>
      <c r="D475" s="226">
        <v>13.77</v>
      </c>
      <c r="E475" s="226" t="s">
        <v>1047</v>
      </c>
      <c r="F475" s="234">
        <f t="shared" si="7"/>
        <v>0</v>
      </c>
    </row>
    <row r="476" spans="1:8" s="221" customFormat="1" x14ac:dyDescent="0.25">
      <c r="A476" s="230">
        <v>30370</v>
      </c>
      <c r="B476" s="230" t="s">
        <v>959</v>
      </c>
      <c r="C476" s="228"/>
      <c r="D476" s="226">
        <v>13</v>
      </c>
      <c r="E476" s="226" t="s">
        <v>1047</v>
      </c>
      <c r="F476" s="234">
        <f t="shared" si="7"/>
        <v>0</v>
      </c>
    </row>
    <row r="477" spans="1:8" s="221" customFormat="1" x14ac:dyDescent="0.25">
      <c r="A477" s="230">
        <v>30390</v>
      </c>
      <c r="B477" s="230" t="s">
        <v>734</v>
      </c>
      <c r="C477" s="228"/>
      <c r="D477" s="226">
        <v>9.0500000000000007</v>
      </c>
      <c r="E477" s="226" t="s">
        <v>1047</v>
      </c>
      <c r="F477" s="234">
        <f t="shared" si="7"/>
        <v>0</v>
      </c>
    </row>
    <row r="478" spans="1:8" s="221" customFormat="1" x14ac:dyDescent="0.25">
      <c r="A478" s="230">
        <v>30400</v>
      </c>
      <c r="B478" s="230" t="s">
        <v>495</v>
      </c>
      <c r="C478" s="228"/>
      <c r="D478" s="226"/>
      <c r="E478" s="226" t="s">
        <v>1047</v>
      </c>
      <c r="F478" s="234">
        <f t="shared" si="7"/>
        <v>0</v>
      </c>
    </row>
    <row r="479" spans="1:8" s="221" customFormat="1" x14ac:dyDescent="0.25">
      <c r="A479" s="230">
        <v>30410</v>
      </c>
      <c r="B479" s="230" t="s">
        <v>496</v>
      </c>
      <c r="C479" s="228"/>
      <c r="D479" s="226"/>
      <c r="E479" s="226" t="s">
        <v>1047</v>
      </c>
      <c r="F479" s="234">
        <f t="shared" si="7"/>
        <v>0</v>
      </c>
    </row>
    <row r="480" spans="1:8" s="221" customFormat="1" x14ac:dyDescent="0.25">
      <c r="A480" s="230">
        <v>30420</v>
      </c>
      <c r="B480" s="230" t="s">
        <v>497</v>
      </c>
      <c r="C480" s="228"/>
      <c r="D480" s="226">
        <v>9.44</v>
      </c>
      <c r="E480" s="226" t="s">
        <v>1047</v>
      </c>
      <c r="F480" s="234">
        <f t="shared" si="7"/>
        <v>0</v>
      </c>
    </row>
    <row r="481" spans="1:6" s="221" customFormat="1" x14ac:dyDescent="0.25">
      <c r="A481" s="230">
        <v>30430</v>
      </c>
      <c r="B481" s="230" t="s">
        <v>498</v>
      </c>
      <c r="C481" s="228"/>
      <c r="D481" s="226">
        <v>12.33</v>
      </c>
      <c r="E481" s="226" t="s">
        <v>1047</v>
      </c>
      <c r="F481" s="234">
        <f t="shared" si="7"/>
        <v>0</v>
      </c>
    </row>
    <row r="482" spans="1:6" s="221" customFormat="1" x14ac:dyDescent="0.25">
      <c r="A482" s="230">
        <v>30440</v>
      </c>
      <c r="B482" s="230" t="s">
        <v>499</v>
      </c>
      <c r="C482" s="228"/>
      <c r="D482" s="226">
        <v>16.5</v>
      </c>
      <c r="E482" s="226" t="s">
        <v>1047</v>
      </c>
      <c r="F482" s="234">
        <f t="shared" si="7"/>
        <v>0</v>
      </c>
    </row>
    <row r="483" spans="1:6" s="221" customFormat="1" x14ac:dyDescent="0.25">
      <c r="A483" s="230">
        <v>30450</v>
      </c>
      <c r="B483" s="230" t="s">
        <v>500</v>
      </c>
      <c r="C483" s="228"/>
      <c r="D483" s="226">
        <v>15.8</v>
      </c>
      <c r="E483" s="226" t="s">
        <v>1047</v>
      </c>
      <c r="F483" s="234">
        <f t="shared" si="7"/>
        <v>0</v>
      </c>
    </row>
    <row r="484" spans="1:6" s="221" customFormat="1" x14ac:dyDescent="0.25">
      <c r="A484" s="230">
        <v>30460</v>
      </c>
      <c r="B484" s="230" t="s">
        <v>501</v>
      </c>
      <c r="C484" s="228"/>
      <c r="D484" s="226">
        <v>17.03</v>
      </c>
      <c r="E484" s="226" t="s">
        <v>1047</v>
      </c>
      <c r="F484" s="234">
        <f t="shared" si="7"/>
        <v>0</v>
      </c>
    </row>
    <row r="485" spans="1:6" s="221" customFormat="1" x14ac:dyDescent="0.25">
      <c r="A485" s="230">
        <v>30470</v>
      </c>
      <c r="B485" s="230" t="s">
        <v>502</v>
      </c>
      <c r="C485" s="228"/>
      <c r="D485" s="226">
        <v>18.899999999999999</v>
      </c>
      <c r="E485" s="226" t="s">
        <v>1047</v>
      </c>
      <c r="F485" s="234">
        <f t="shared" si="7"/>
        <v>0</v>
      </c>
    </row>
    <row r="486" spans="1:6" s="221" customFormat="1" x14ac:dyDescent="0.25">
      <c r="A486" s="230">
        <v>30480</v>
      </c>
      <c r="B486" s="230" t="s">
        <v>503</v>
      </c>
      <c r="C486" s="228"/>
      <c r="D486" s="226">
        <v>20.8</v>
      </c>
      <c r="E486" s="226" t="s">
        <v>1047</v>
      </c>
      <c r="F486" s="234">
        <f t="shared" si="7"/>
        <v>0</v>
      </c>
    </row>
    <row r="487" spans="1:6" s="221" customFormat="1" x14ac:dyDescent="0.25">
      <c r="A487" s="230">
        <v>30490</v>
      </c>
      <c r="B487" s="230" t="s">
        <v>504</v>
      </c>
      <c r="C487" s="228"/>
      <c r="D487" s="226">
        <v>17.55</v>
      </c>
      <c r="E487" s="226" t="s">
        <v>1047</v>
      </c>
      <c r="F487" s="234">
        <f t="shared" si="7"/>
        <v>0</v>
      </c>
    </row>
    <row r="488" spans="1:6" s="221" customFormat="1" x14ac:dyDescent="0.25">
      <c r="A488" s="230">
        <v>30500</v>
      </c>
      <c r="B488" s="230" t="s">
        <v>962</v>
      </c>
      <c r="C488" s="228"/>
      <c r="D488" s="226">
        <v>21.02</v>
      </c>
      <c r="E488" s="226" t="s">
        <v>1047</v>
      </c>
      <c r="F488" s="234">
        <f t="shared" si="7"/>
        <v>0</v>
      </c>
    </row>
    <row r="489" spans="1:6" s="221" customFormat="1" x14ac:dyDescent="0.25">
      <c r="A489" s="230">
        <v>30510</v>
      </c>
      <c r="B489" s="230" t="s">
        <v>505</v>
      </c>
      <c r="C489" s="228"/>
      <c r="D489" s="226">
        <v>21.8</v>
      </c>
      <c r="E489" s="226" t="s">
        <v>1047</v>
      </c>
      <c r="F489" s="234">
        <f t="shared" si="7"/>
        <v>0</v>
      </c>
    </row>
    <row r="490" spans="1:6" s="221" customFormat="1" x14ac:dyDescent="0.25">
      <c r="A490" s="230">
        <v>30520</v>
      </c>
      <c r="B490" s="230" t="s">
        <v>506</v>
      </c>
      <c r="C490" s="228"/>
      <c r="D490" s="226">
        <v>25.33</v>
      </c>
      <c r="E490" s="226" t="s">
        <v>1047</v>
      </c>
      <c r="F490" s="234">
        <f t="shared" si="7"/>
        <v>0</v>
      </c>
    </row>
    <row r="491" spans="1:6" s="221" customFormat="1" x14ac:dyDescent="0.25">
      <c r="A491" s="230">
        <v>30530</v>
      </c>
      <c r="B491" s="230" t="s">
        <v>507</v>
      </c>
      <c r="C491" s="226"/>
      <c r="D491" s="226">
        <v>1.66</v>
      </c>
      <c r="E491" s="226" t="s">
        <v>1047</v>
      </c>
      <c r="F491" s="234">
        <f t="shared" si="7"/>
        <v>0</v>
      </c>
    </row>
    <row r="492" spans="1:6" s="221" customFormat="1" x14ac:dyDescent="0.25">
      <c r="A492" s="230">
        <v>30540</v>
      </c>
      <c r="B492" s="230" t="s">
        <v>508</v>
      </c>
      <c r="C492" s="226"/>
      <c r="D492" s="226">
        <v>2.2999999999999998</v>
      </c>
      <c r="E492" s="226" t="s">
        <v>1047</v>
      </c>
      <c r="F492" s="234">
        <f t="shared" si="7"/>
        <v>0</v>
      </c>
    </row>
    <row r="493" spans="1:6" s="221" customFormat="1" x14ac:dyDescent="0.25">
      <c r="A493" s="230">
        <v>30550</v>
      </c>
      <c r="B493" s="230" t="s">
        <v>509</v>
      </c>
      <c r="C493" s="226"/>
      <c r="D493" s="226">
        <v>2.02</v>
      </c>
      <c r="E493" s="226" t="s">
        <v>1047</v>
      </c>
      <c r="F493" s="234">
        <f t="shared" si="7"/>
        <v>0</v>
      </c>
    </row>
    <row r="494" spans="1:6" s="221" customFormat="1" x14ac:dyDescent="0.25">
      <c r="A494" s="230">
        <v>30560</v>
      </c>
      <c r="B494" s="230" t="s">
        <v>963</v>
      </c>
      <c r="C494" s="226"/>
      <c r="D494" s="226">
        <v>2.35</v>
      </c>
      <c r="E494" s="226" t="s">
        <v>1047</v>
      </c>
      <c r="F494" s="234">
        <f t="shared" si="7"/>
        <v>0</v>
      </c>
    </row>
    <row r="495" spans="1:6" s="221" customFormat="1" x14ac:dyDescent="0.25">
      <c r="A495" s="230">
        <v>30570</v>
      </c>
      <c r="B495" s="230" t="s">
        <v>964</v>
      </c>
      <c r="C495" s="226"/>
      <c r="D495" s="226">
        <v>2.2200000000000002</v>
      </c>
      <c r="E495" s="226" t="s">
        <v>1047</v>
      </c>
      <c r="F495" s="234">
        <f t="shared" si="7"/>
        <v>0</v>
      </c>
    </row>
    <row r="496" spans="1:6" s="221" customFormat="1" x14ac:dyDescent="0.25">
      <c r="A496" s="230">
        <v>30580</v>
      </c>
      <c r="B496" s="230" t="s">
        <v>510</v>
      </c>
      <c r="C496" s="226"/>
      <c r="D496" s="226">
        <v>2.2999999999999998</v>
      </c>
      <c r="E496" s="226" t="s">
        <v>1047</v>
      </c>
      <c r="F496" s="234">
        <f t="shared" si="7"/>
        <v>0</v>
      </c>
    </row>
    <row r="497" spans="1:6" s="221" customFormat="1" x14ac:dyDescent="0.25">
      <c r="A497" s="230">
        <v>30590</v>
      </c>
      <c r="B497" s="230" t="s">
        <v>965</v>
      </c>
      <c r="C497" s="226"/>
      <c r="D497" s="226">
        <v>2.2000000000000002</v>
      </c>
      <c r="E497" s="226" t="s">
        <v>1047</v>
      </c>
      <c r="F497" s="234">
        <f t="shared" si="7"/>
        <v>0</v>
      </c>
    </row>
    <row r="498" spans="1:6" s="221" customFormat="1" x14ac:dyDescent="0.25">
      <c r="A498" s="230">
        <v>30600</v>
      </c>
      <c r="B498" s="230" t="s">
        <v>966</v>
      </c>
      <c r="C498" s="226"/>
      <c r="D498" s="226">
        <v>2.2999999999999998</v>
      </c>
      <c r="E498" s="226" t="s">
        <v>1047</v>
      </c>
      <c r="F498" s="234">
        <f t="shared" si="7"/>
        <v>0</v>
      </c>
    </row>
    <row r="499" spans="1:6" s="221" customFormat="1" x14ac:dyDescent="0.25">
      <c r="A499" s="230">
        <v>30610</v>
      </c>
      <c r="B499" s="230" t="s">
        <v>511</v>
      </c>
      <c r="C499" s="226"/>
      <c r="D499" s="226"/>
      <c r="E499" s="226" t="s">
        <v>1047</v>
      </c>
      <c r="F499" s="234">
        <f t="shared" si="7"/>
        <v>0</v>
      </c>
    </row>
    <row r="500" spans="1:6" s="221" customFormat="1" x14ac:dyDescent="0.25">
      <c r="A500" s="230">
        <v>30620</v>
      </c>
      <c r="B500" s="230" t="s">
        <v>512</v>
      </c>
      <c r="C500" s="226"/>
      <c r="D500" s="226">
        <v>2.15</v>
      </c>
      <c r="E500" s="226" t="s">
        <v>1047</v>
      </c>
      <c r="F500" s="234">
        <f t="shared" si="7"/>
        <v>0</v>
      </c>
    </row>
    <row r="501" spans="1:6" s="221" customFormat="1" x14ac:dyDescent="0.25">
      <c r="A501" s="230">
        <v>30630</v>
      </c>
      <c r="B501" s="230" t="s">
        <v>513</v>
      </c>
      <c r="C501" s="226"/>
      <c r="D501" s="226">
        <v>2.35</v>
      </c>
      <c r="E501" s="226" t="s">
        <v>1047</v>
      </c>
      <c r="F501" s="234">
        <f t="shared" si="7"/>
        <v>0</v>
      </c>
    </row>
    <row r="502" spans="1:6" s="221" customFormat="1" x14ac:dyDescent="0.25">
      <c r="A502" s="230">
        <v>32000</v>
      </c>
      <c r="B502" s="230" t="s">
        <v>741</v>
      </c>
      <c r="C502" s="226"/>
      <c r="D502" s="226">
        <v>6.3</v>
      </c>
      <c r="E502" s="226" t="s">
        <v>1047</v>
      </c>
      <c r="F502" s="234">
        <f t="shared" si="7"/>
        <v>0</v>
      </c>
    </row>
    <row r="503" spans="1:6" s="221" customFormat="1" x14ac:dyDescent="0.25">
      <c r="A503" s="230">
        <v>32010</v>
      </c>
      <c r="B503" s="230" t="s">
        <v>742</v>
      </c>
      <c r="C503" s="226"/>
      <c r="D503" s="226">
        <v>6.3</v>
      </c>
      <c r="E503" s="226" t="s">
        <v>1047</v>
      </c>
      <c r="F503" s="234">
        <f t="shared" si="7"/>
        <v>0</v>
      </c>
    </row>
    <row r="504" spans="1:6" s="221" customFormat="1" x14ac:dyDescent="0.25">
      <c r="A504" s="230">
        <v>32020</v>
      </c>
      <c r="B504" s="230" t="s">
        <v>743</v>
      </c>
      <c r="C504" s="226"/>
      <c r="D504" s="226">
        <v>6.85</v>
      </c>
      <c r="E504" s="226" t="s">
        <v>1047</v>
      </c>
      <c r="F504" s="234">
        <f t="shared" si="7"/>
        <v>0</v>
      </c>
    </row>
    <row r="505" spans="1:6" s="221" customFormat="1" x14ac:dyDescent="0.25">
      <c r="A505" s="230">
        <v>32030</v>
      </c>
      <c r="B505" s="230" t="s">
        <v>744</v>
      </c>
      <c r="C505" s="226"/>
      <c r="D505" s="226">
        <v>15.25</v>
      </c>
      <c r="E505" s="226" t="s">
        <v>1047</v>
      </c>
      <c r="F505" s="234">
        <f t="shared" si="7"/>
        <v>0</v>
      </c>
    </row>
    <row r="506" spans="1:6" s="221" customFormat="1" x14ac:dyDescent="0.25">
      <c r="A506" s="230">
        <v>32040</v>
      </c>
      <c r="B506" s="230" t="s">
        <v>745</v>
      </c>
      <c r="C506" s="228"/>
      <c r="D506" s="226">
        <v>15.25</v>
      </c>
      <c r="E506" s="226" t="s">
        <v>1047</v>
      </c>
      <c r="F506" s="234">
        <f t="shared" si="7"/>
        <v>0</v>
      </c>
    </row>
    <row r="507" spans="1:6" s="221" customFormat="1" x14ac:dyDescent="0.25">
      <c r="A507" s="230">
        <v>32050</v>
      </c>
      <c r="B507" s="230" t="s">
        <v>746</v>
      </c>
      <c r="C507" s="228"/>
      <c r="D507" s="226"/>
      <c r="E507" s="226" t="s">
        <v>1047</v>
      </c>
      <c r="F507" s="234">
        <f t="shared" si="7"/>
        <v>0</v>
      </c>
    </row>
    <row r="508" spans="1:6" s="221" customFormat="1" x14ac:dyDescent="0.25">
      <c r="A508" s="226">
        <v>35000</v>
      </c>
      <c r="B508" s="226" t="s">
        <v>1469</v>
      </c>
      <c r="C508" s="228"/>
      <c r="D508" s="226">
        <v>43.69</v>
      </c>
      <c r="E508" s="226" t="s">
        <v>1047</v>
      </c>
      <c r="F508" s="234">
        <f t="shared" si="7"/>
        <v>0</v>
      </c>
    </row>
    <row r="509" spans="1:6" s="221" customFormat="1" x14ac:dyDescent="0.25">
      <c r="A509" s="226">
        <v>35010</v>
      </c>
      <c r="B509" s="226" t="s">
        <v>1468</v>
      </c>
      <c r="C509" s="228"/>
      <c r="D509" s="226">
        <v>37.19</v>
      </c>
      <c r="E509" s="226" t="s">
        <v>1047</v>
      </c>
      <c r="F509" s="234">
        <f t="shared" si="7"/>
        <v>0</v>
      </c>
    </row>
    <row r="510" spans="1:6" s="221" customFormat="1" x14ac:dyDescent="0.25">
      <c r="A510" s="226">
        <v>35020</v>
      </c>
      <c r="B510" s="226" t="s">
        <v>1456</v>
      </c>
      <c r="C510" s="228"/>
      <c r="D510" s="226">
        <v>37.770000000000003</v>
      </c>
      <c r="E510" s="226" t="s">
        <v>1047</v>
      </c>
      <c r="F510" s="234">
        <f t="shared" si="7"/>
        <v>0</v>
      </c>
    </row>
    <row r="511" spans="1:6" s="221" customFormat="1" x14ac:dyDescent="0.25">
      <c r="A511" s="226">
        <v>35030</v>
      </c>
      <c r="B511" s="226" t="s">
        <v>1467</v>
      </c>
      <c r="C511" s="228"/>
      <c r="D511" s="226">
        <v>41.33</v>
      </c>
      <c r="E511" s="226" t="s">
        <v>1047</v>
      </c>
      <c r="F511" s="234">
        <f t="shared" si="7"/>
        <v>0</v>
      </c>
    </row>
    <row r="512" spans="1:6" s="221" customFormat="1" x14ac:dyDescent="0.25">
      <c r="A512" s="226">
        <v>35040</v>
      </c>
      <c r="B512" s="226" t="s">
        <v>1413</v>
      </c>
      <c r="C512" s="228"/>
      <c r="D512" s="226">
        <v>27.57</v>
      </c>
      <c r="E512" s="226" t="s">
        <v>1047</v>
      </c>
      <c r="F512" s="234">
        <f t="shared" si="7"/>
        <v>0</v>
      </c>
    </row>
    <row r="513" spans="1:6" s="221" customFormat="1" x14ac:dyDescent="0.25">
      <c r="A513" s="226">
        <v>35050</v>
      </c>
      <c r="B513" s="226" t="s">
        <v>1480</v>
      </c>
      <c r="C513" s="228"/>
      <c r="D513" s="241">
        <v>57</v>
      </c>
      <c r="E513" s="226" t="s">
        <v>1047</v>
      </c>
      <c r="F513" s="234">
        <f t="shared" ref="F513:F534" si="8">C513*D513</f>
        <v>0</v>
      </c>
    </row>
    <row r="514" spans="1:6" s="221" customFormat="1" x14ac:dyDescent="0.25">
      <c r="A514" s="226">
        <v>35060</v>
      </c>
      <c r="B514" s="226" t="s">
        <v>1481</v>
      </c>
      <c r="C514" s="226"/>
      <c r="D514" s="241">
        <v>37.5</v>
      </c>
      <c r="E514" s="226" t="s">
        <v>1047</v>
      </c>
      <c r="F514" s="234">
        <f t="shared" si="8"/>
        <v>0</v>
      </c>
    </row>
    <row r="515" spans="1:6" s="221" customFormat="1" x14ac:dyDescent="0.25">
      <c r="A515" s="226">
        <v>35070</v>
      </c>
      <c r="B515" s="226" t="s">
        <v>1410</v>
      </c>
      <c r="C515" s="226"/>
      <c r="D515" s="241">
        <v>160</v>
      </c>
      <c r="E515" s="226" t="s">
        <v>1047</v>
      </c>
      <c r="F515" s="234">
        <f t="shared" si="8"/>
        <v>0</v>
      </c>
    </row>
    <row r="516" spans="1:6" s="221" customFormat="1" x14ac:dyDescent="0.25">
      <c r="A516" s="230">
        <v>39010</v>
      </c>
      <c r="B516" s="230" t="s">
        <v>978</v>
      </c>
      <c r="C516" s="226"/>
      <c r="D516" s="241">
        <v>5.25</v>
      </c>
      <c r="E516" s="226" t="s">
        <v>1047</v>
      </c>
      <c r="F516" s="234">
        <f t="shared" si="8"/>
        <v>0</v>
      </c>
    </row>
    <row r="517" spans="1:6" s="221" customFormat="1" x14ac:dyDescent="0.25">
      <c r="A517" s="230">
        <v>39040</v>
      </c>
      <c r="B517" s="230" t="s">
        <v>532</v>
      </c>
      <c r="C517" s="226"/>
      <c r="D517" s="241">
        <v>9.5299999999999994</v>
      </c>
      <c r="E517" s="226" t="s">
        <v>1047</v>
      </c>
      <c r="F517" s="234">
        <f t="shared" si="8"/>
        <v>0</v>
      </c>
    </row>
    <row r="518" spans="1:6" s="221" customFormat="1" x14ac:dyDescent="0.25">
      <c r="A518" s="230">
        <v>39060</v>
      </c>
      <c r="B518" s="230" t="s">
        <v>749</v>
      </c>
      <c r="C518" s="226"/>
      <c r="D518" s="241">
        <v>127.47</v>
      </c>
      <c r="E518" s="226" t="s">
        <v>1047</v>
      </c>
      <c r="F518" s="234">
        <f t="shared" si="8"/>
        <v>0</v>
      </c>
    </row>
    <row r="519" spans="1:6" s="221" customFormat="1" x14ac:dyDescent="0.25">
      <c r="A519" s="230">
        <v>39070</v>
      </c>
      <c r="B519" s="230" t="s">
        <v>750</v>
      </c>
      <c r="C519" s="226"/>
      <c r="D519" s="241">
        <v>121.77</v>
      </c>
      <c r="E519" s="226" t="s">
        <v>1047</v>
      </c>
      <c r="F519" s="234">
        <f t="shared" si="8"/>
        <v>0</v>
      </c>
    </row>
    <row r="520" spans="1:6" s="221" customFormat="1" x14ac:dyDescent="0.25">
      <c r="A520" s="230">
        <v>39080</v>
      </c>
      <c r="B520" s="230" t="s">
        <v>751</v>
      </c>
      <c r="C520" s="228"/>
      <c r="D520" s="241">
        <v>187.34</v>
      </c>
      <c r="E520" s="226" t="s">
        <v>1047</v>
      </c>
      <c r="F520" s="234">
        <f t="shared" si="8"/>
        <v>0</v>
      </c>
    </row>
    <row r="521" spans="1:6" s="221" customFormat="1" x14ac:dyDescent="0.25">
      <c r="A521" s="230">
        <v>39090</v>
      </c>
      <c r="B521" s="230" t="s">
        <v>752</v>
      </c>
      <c r="C521" s="228"/>
      <c r="D521" s="241">
        <v>170</v>
      </c>
      <c r="E521" s="226" t="s">
        <v>1047</v>
      </c>
      <c r="F521" s="234">
        <f t="shared" si="8"/>
        <v>0</v>
      </c>
    </row>
    <row r="522" spans="1:6" s="221" customFormat="1" x14ac:dyDescent="0.25">
      <c r="A522" s="230">
        <v>39100</v>
      </c>
      <c r="B522" s="237" t="s">
        <v>908</v>
      </c>
      <c r="C522" s="226"/>
      <c r="D522" s="241"/>
      <c r="E522" s="226" t="s">
        <v>1047</v>
      </c>
      <c r="F522" s="234">
        <f t="shared" si="8"/>
        <v>0</v>
      </c>
    </row>
    <row r="523" spans="1:6" s="221" customFormat="1" x14ac:dyDescent="0.25">
      <c r="A523" s="230">
        <v>39160</v>
      </c>
      <c r="B523" s="230" t="s">
        <v>756</v>
      </c>
      <c r="C523" s="226"/>
      <c r="D523" s="226">
        <v>3.25</v>
      </c>
      <c r="E523" s="226" t="s">
        <v>1047</v>
      </c>
      <c r="F523" s="234">
        <f t="shared" si="8"/>
        <v>0</v>
      </c>
    </row>
    <row r="524" spans="1:6" s="221" customFormat="1" x14ac:dyDescent="0.25">
      <c r="A524" s="230">
        <v>39190</v>
      </c>
      <c r="B524" s="226" t="s">
        <v>1576</v>
      </c>
      <c r="C524" s="226"/>
      <c r="D524" s="226"/>
      <c r="E524" s="226" t="s">
        <v>1047</v>
      </c>
      <c r="F524" s="234">
        <f t="shared" si="8"/>
        <v>0</v>
      </c>
    </row>
    <row r="525" spans="1:6" s="221" customFormat="1" x14ac:dyDescent="0.25">
      <c r="A525" s="230">
        <v>39200</v>
      </c>
      <c r="B525" s="230" t="s">
        <v>558</v>
      </c>
      <c r="C525" s="226"/>
      <c r="D525" s="226">
        <v>14.04</v>
      </c>
      <c r="E525" s="226" t="s">
        <v>1047</v>
      </c>
      <c r="F525" s="234">
        <f t="shared" si="8"/>
        <v>0</v>
      </c>
    </row>
    <row r="526" spans="1:6" s="221" customFormat="1" x14ac:dyDescent="0.25">
      <c r="A526" s="230">
        <v>39220</v>
      </c>
      <c r="B526" s="230" t="s">
        <v>758</v>
      </c>
      <c r="C526" s="226"/>
      <c r="D526" s="241">
        <v>0.98</v>
      </c>
      <c r="E526" s="226" t="s">
        <v>1047</v>
      </c>
      <c r="F526" s="234">
        <f t="shared" si="8"/>
        <v>0</v>
      </c>
    </row>
    <row r="527" spans="1:6" s="221" customFormat="1" x14ac:dyDescent="0.25">
      <c r="A527" s="230">
        <v>39250</v>
      </c>
      <c r="B527" s="230" t="s">
        <v>796</v>
      </c>
      <c r="C527" s="226"/>
      <c r="D527" s="241"/>
      <c r="E527" s="226" t="s">
        <v>1047</v>
      </c>
      <c r="F527" s="234">
        <f t="shared" si="8"/>
        <v>0</v>
      </c>
    </row>
    <row r="528" spans="1:6" s="221" customFormat="1" x14ac:dyDescent="0.25">
      <c r="A528" s="230">
        <v>40000</v>
      </c>
      <c r="B528" s="230" t="s">
        <v>536</v>
      </c>
      <c r="C528" s="226"/>
      <c r="D528" s="241">
        <v>1.65</v>
      </c>
      <c r="E528" s="226" t="s">
        <v>1047</v>
      </c>
      <c r="F528" s="234">
        <f t="shared" si="8"/>
        <v>0</v>
      </c>
    </row>
    <row r="529" spans="1:6" s="221" customFormat="1" x14ac:dyDescent="0.25">
      <c r="A529" s="230">
        <v>40010</v>
      </c>
      <c r="B529" s="230" t="s">
        <v>537</v>
      </c>
      <c r="C529" s="226"/>
      <c r="D529" s="241">
        <v>1.45</v>
      </c>
      <c r="E529" s="226" t="s">
        <v>1047</v>
      </c>
      <c r="F529" s="234">
        <f t="shared" si="8"/>
        <v>0</v>
      </c>
    </row>
    <row r="530" spans="1:6" s="221" customFormat="1" x14ac:dyDescent="0.25">
      <c r="A530" s="230">
        <v>40050</v>
      </c>
      <c r="B530" s="230" t="s">
        <v>539</v>
      </c>
      <c r="C530" s="226"/>
      <c r="D530" s="226">
        <v>5.88</v>
      </c>
      <c r="E530" s="226" t="s">
        <v>1047</v>
      </c>
      <c r="F530" s="234">
        <f t="shared" si="8"/>
        <v>0</v>
      </c>
    </row>
    <row r="531" spans="1:6" s="221" customFormat="1" x14ac:dyDescent="0.25">
      <c r="A531" s="230">
        <v>40060</v>
      </c>
      <c r="B531" s="230" t="s">
        <v>540</v>
      </c>
      <c r="C531" s="226"/>
      <c r="D531" s="226">
        <v>5.55</v>
      </c>
      <c r="E531" s="226" t="s">
        <v>1047</v>
      </c>
      <c r="F531" s="234">
        <f t="shared" si="8"/>
        <v>0</v>
      </c>
    </row>
    <row r="532" spans="1:6" s="221" customFormat="1" x14ac:dyDescent="0.25">
      <c r="A532" s="230">
        <v>40070</v>
      </c>
      <c r="B532" s="230" t="s">
        <v>762</v>
      </c>
      <c r="C532" s="259"/>
      <c r="D532" s="226">
        <v>5.05</v>
      </c>
      <c r="E532" s="259" t="s">
        <v>1047</v>
      </c>
      <c r="F532" s="234">
        <f t="shared" si="8"/>
        <v>0</v>
      </c>
    </row>
    <row r="533" spans="1:6" s="221" customFormat="1" x14ac:dyDescent="0.25">
      <c r="A533" s="230">
        <v>40080</v>
      </c>
      <c r="B533" s="230" t="s">
        <v>763</v>
      </c>
      <c r="C533" s="226"/>
      <c r="D533" s="226">
        <v>7.02</v>
      </c>
      <c r="E533" s="226" t="s">
        <v>1047</v>
      </c>
      <c r="F533" s="234">
        <f t="shared" si="8"/>
        <v>0</v>
      </c>
    </row>
    <row r="534" spans="1:6" s="221" customFormat="1" x14ac:dyDescent="0.25">
      <c r="A534" s="230">
        <v>40090</v>
      </c>
      <c r="B534" s="230" t="s">
        <v>764</v>
      </c>
      <c r="C534" s="226"/>
      <c r="D534" s="226">
        <v>3.66</v>
      </c>
      <c r="E534" s="226" t="s">
        <v>1047</v>
      </c>
      <c r="F534" s="234">
        <f t="shared" si="8"/>
        <v>0</v>
      </c>
    </row>
    <row r="535" spans="1:6" s="221" customFormat="1" x14ac:dyDescent="0.25">
      <c r="A535" s="230">
        <v>40100</v>
      </c>
      <c r="B535" s="230" t="s">
        <v>765</v>
      </c>
      <c r="C535" s="226"/>
      <c r="D535" s="241">
        <v>10.27</v>
      </c>
      <c r="E535" s="226" t="s">
        <v>1047</v>
      </c>
      <c r="F535" s="234">
        <f t="shared" ref="F535:F540" si="9">C535*D535</f>
        <v>0</v>
      </c>
    </row>
    <row r="536" spans="1:6" s="221" customFormat="1" x14ac:dyDescent="0.25">
      <c r="A536" s="230">
        <v>40110</v>
      </c>
      <c r="B536" s="230" t="s">
        <v>766</v>
      </c>
      <c r="C536" s="226"/>
      <c r="D536" s="241"/>
      <c r="E536" s="226" t="s">
        <v>1047</v>
      </c>
      <c r="F536" s="234">
        <f t="shared" si="9"/>
        <v>0</v>
      </c>
    </row>
    <row r="537" spans="1:6" s="221" customFormat="1" x14ac:dyDescent="0.25">
      <c r="A537" s="230">
        <v>40120</v>
      </c>
      <c r="B537" s="230" t="s">
        <v>767</v>
      </c>
      <c r="C537" s="226"/>
      <c r="D537" s="241">
        <v>95.88</v>
      </c>
      <c r="E537" s="226" t="s">
        <v>1047</v>
      </c>
      <c r="F537" s="234">
        <f t="shared" si="9"/>
        <v>0</v>
      </c>
    </row>
    <row r="538" spans="1:6" s="221" customFormat="1" x14ac:dyDescent="0.25">
      <c r="A538" s="230">
        <v>40130</v>
      </c>
      <c r="B538" s="230" t="s">
        <v>542</v>
      </c>
      <c r="C538" s="226"/>
      <c r="D538" s="241">
        <v>12.67</v>
      </c>
      <c r="E538" s="226" t="s">
        <v>1047</v>
      </c>
      <c r="F538" s="234">
        <f t="shared" si="9"/>
        <v>0</v>
      </c>
    </row>
    <row r="539" spans="1:6" s="221" customFormat="1" x14ac:dyDescent="0.25">
      <c r="A539" s="230">
        <v>40140</v>
      </c>
      <c r="B539" s="230" t="s">
        <v>543</v>
      </c>
      <c r="C539" s="226"/>
      <c r="D539" s="241">
        <v>0</v>
      </c>
      <c r="E539" s="226" t="s">
        <v>1047</v>
      </c>
      <c r="F539" s="234">
        <f t="shared" si="9"/>
        <v>0</v>
      </c>
    </row>
    <row r="540" spans="1:6" s="221" customFormat="1" x14ac:dyDescent="0.25">
      <c r="A540" s="230">
        <v>40150</v>
      </c>
      <c r="B540" s="230" t="s">
        <v>544</v>
      </c>
      <c r="C540" s="226"/>
      <c r="D540" s="241">
        <v>8.4499999999999993</v>
      </c>
      <c r="E540" s="226" t="s">
        <v>1047</v>
      </c>
      <c r="F540" s="234">
        <f t="shared" si="9"/>
        <v>0</v>
      </c>
    </row>
    <row r="541" spans="1:6" s="221" customFormat="1" x14ac:dyDescent="0.25">
      <c r="A541" s="230">
        <v>40160</v>
      </c>
      <c r="B541" s="230" t="s">
        <v>768</v>
      </c>
      <c r="C541" s="226"/>
      <c r="D541" s="241">
        <v>10.85</v>
      </c>
      <c r="E541" s="226" t="s">
        <v>1047</v>
      </c>
      <c r="F541" s="234">
        <f t="shared" ref="F541:F604" si="10">C541*D541</f>
        <v>0</v>
      </c>
    </row>
    <row r="542" spans="1:6" s="221" customFormat="1" x14ac:dyDescent="0.25">
      <c r="A542" s="230">
        <v>40170</v>
      </c>
      <c r="B542" s="230" t="s">
        <v>769</v>
      </c>
      <c r="C542" s="226"/>
      <c r="D542" s="241">
        <v>5.87</v>
      </c>
      <c r="E542" s="226" t="s">
        <v>1047</v>
      </c>
      <c r="F542" s="234">
        <f t="shared" si="10"/>
        <v>0</v>
      </c>
    </row>
    <row r="543" spans="1:6" s="221" customFormat="1" x14ac:dyDescent="0.25">
      <c r="A543" s="230">
        <v>40180</v>
      </c>
      <c r="B543" s="230" t="s">
        <v>545</v>
      </c>
      <c r="C543" s="226"/>
      <c r="D543" s="241">
        <v>11</v>
      </c>
      <c r="E543" s="226" t="s">
        <v>1047</v>
      </c>
      <c r="F543" s="234">
        <f t="shared" si="10"/>
        <v>0</v>
      </c>
    </row>
    <row r="544" spans="1:6" s="221" customFormat="1" x14ac:dyDescent="0.25">
      <c r="A544" s="230">
        <v>40190</v>
      </c>
      <c r="B544" s="230" t="s">
        <v>793</v>
      </c>
      <c r="C544" s="226"/>
      <c r="D544" s="241">
        <v>21.55</v>
      </c>
      <c r="E544" s="226" t="s">
        <v>1047</v>
      </c>
      <c r="F544" s="234">
        <f t="shared" si="10"/>
        <v>0</v>
      </c>
    </row>
    <row r="545" spans="1:6" s="221" customFormat="1" x14ac:dyDescent="0.25">
      <c r="A545" s="230">
        <v>40200</v>
      </c>
      <c r="B545" s="230" t="s">
        <v>546</v>
      </c>
      <c r="C545" s="226"/>
      <c r="D545" s="241">
        <v>2.23</v>
      </c>
      <c r="E545" s="226" t="s">
        <v>1047</v>
      </c>
      <c r="F545" s="234">
        <f t="shared" si="10"/>
        <v>0</v>
      </c>
    </row>
    <row r="546" spans="1:6" s="221" customFormat="1" x14ac:dyDescent="0.25">
      <c r="A546" s="230">
        <v>40210</v>
      </c>
      <c r="B546" s="230" t="s">
        <v>547</v>
      </c>
      <c r="C546" s="226">
        <v>0.25</v>
      </c>
      <c r="D546" s="241">
        <v>6.34</v>
      </c>
      <c r="E546" s="226" t="s">
        <v>1047</v>
      </c>
      <c r="F546" s="234">
        <f t="shared" si="10"/>
        <v>1.585</v>
      </c>
    </row>
    <row r="547" spans="1:6" s="221" customFormat="1" x14ac:dyDescent="0.25">
      <c r="A547" s="230">
        <v>40220</v>
      </c>
      <c r="B547" s="230" t="s">
        <v>770</v>
      </c>
      <c r="C547" s="226">
        <v>0.25</v>
      </c>
      <c r="D547" s="241">
        <v>5.01</v>
      </c>
      <c r="E547" s="226" t="s">
        <v>1047</v>
      </c>
      <c r="F547" s="234">
        <f t="shared" si="10"/>
        <v>1.2524999999999999</v>
      </c>
    </row>
    <row r="548" spans="1:6" s="221" customFormat="1" x14ac:dyDescent="0.25">
      <c r="A548" s="230">
        <v>40230</v>
      </c>
      <c r="B548" s="230" t="s">
        <v>548</v>
      </c>
      <c r="C548" s="226"/>
      <c r="D548" s="241"/>
      <c r="E548" s="226" t="s">
        <v>1047</v>
      </c>
      <c r="F548" s="234">
        <f t="shared" si="10"/>
        <v>0</v>
      </c>
    </row>
    <row r="549" spans="1:6" s="221" customFormat="1" x14ac:dyDescent="0.25">
      <c r="A549" s="230">
        <v>40240</v>
      </c>
      <c r="B549" s="230" t="s">
        <v>549</v>
      </c>
      <c r="C549" s="226"/>
      <c r="D549" s="241"/>
      <c r="E549" s="226" t="s">
        <v>1047</v>
      </c>
      <c r="F549" s="234">
        <f t="shared" si="10"/>
        <v>0</v>
      </c>
    </row>
    <row r="550" spans="1:6" s="221" customFormat="1" x14ac:dyDescent="0.25">
      <c r="A550" s="230">
        <v>40250</v>
      </c>
      <c r="B550" s="230" t="s">
        <v>550</v>
      </c>
      <c r="C550" s="226"/>
      <c r="D550" s="241"/>
      <c r="E550" s="226" t="s">
        <v>1047</v>
      </c>
      <c r="F550" s="234">
        <f t="shared" si="10"/>
        <v>0</v>
      </c>
    </row>
    <row r="551" spans="1:6" s="221" customFormat="1" x14ac:dyDescent="0.25">
      <c r="A551" s="230">
        <v>40260</v>
      </c>
      <c r="B551" s="230" t="s">
        <v>551</v>
      </c>
      <c r="C551" s="226"/>
      <c r="D551" s="241">
        <v>18.5</v>
      </c>
      <c r="E551" s="226" t="s">
        <v>1047</v>
      </c>
      <c r="F551" s="234">
        <f t="shared" si="10"/>
        <v>0</v>
      </c>
    </row>
    <row r="552" spans="1:6" s="221" customFormat="1" x14ac:dyDescent="0.25">
      <c r="A552" s="230">
        <v>40270</v>
      </c>
      <c r="B552" s="230" t="s">
        <v>771</v>
      </c>
      <c r="C552" s="226"/>
      <c r="D552" s="241">
        <v>8.15</v>
      </c>
      <c r="E552" s="226" t="s">
        <v>1047</v>
      </c>
      <c r="F552" s="234">
        <f t="shared" si="10"/>
        <v>0</v>
      </c>
    </row>
    <row r="553" spans="1:6" s="221" customFormat="1" x14ac:dyDescent="0.25">
      <c r="A553" s="230">
        <v>40280</v>
      </c>
      <c r="B553" s="230" t="s">
        <v>772</v>
      </c>
      <c r="C553" s="226"/>
      <c r="D553" s="241"/>
      <c r="E553" s="226" t="s">
        <v>1047</v>
      </c>
      <c r="F553" s="234">
        <f t="shared" si="10"/>
        <v>0</v>
      </c>
    </row>
    <row r="554" spans="1:6" s="221" customFormat="1" x14ac:dyDescent="0.25">
      <c r="A554" s="230">
        <v>40290</v>
      </c>
      <c r="B554" s="230" t="s">
        <v>773</v>
      </c>
      <c r="C554" s="226"/>
      <c r="D554" s="241"/>
      <c r="E554" s="226" t="s">
        <v>1047</v>
      </c>
      <c r="F554" s="234">
        <f t="shared" si="10"/>
        <v>0</v>
      </c>
    </row>
    <row r="555" spans="1:6" s="221" customFormat="1" x14ac:dyDescent="0.25">
      <c r="A555" s="230">
        <v>40300</v>
      </c>
      <c r="B555" s="230" t="s">
        <v>552</v>
      </c>
      <c r="C555" s="226"/>
      <c r="D555" s="241"/>
      <c r="E555" s="226" t="s">
        <v>1047</v>
      </c>
      <c r="F555" s="234">
        <f t="shared" si="10"/>
        <v>0</v>
      </c>
    </row>
    <row r="556" spans="1:6" s="221" customFormat="1" x14ac:dyDescent="0.25">
      <c r="A556" s="230">
        <v>40310</v>
      </c>
      <c r="B556" s="230" t="s">
        <v>553</v>
      </c>
      <c r="C556" s="226"/>
      <c r="D556" s="241"/>
      <c r="E556" s="226" t="s">
        <v>1047</v>
      </c>
      <c r="F556" s="234">
        <f t="shared" si="10"/>
        <v>0</v>
      </c>
    </row>
    <row r="557" spans="1:6" s="221" customFormat="1" x14ac:dyDescent="0.25">
      <c r="A557" s="230">
        <v>40320</v>
      </c>
      <c r="B557" s="230" t="s">
        <v>554</v>
      </c>
      <c r="C557" s="226"/>
      <c r="D557" s="241">
        <v>21.88</v>
      </c>
      <c r="E557" s="226" t="s">
        <v>1047</v>
      </c>
      <c r="F557" s="234">
        <f t="shared" si="10"/>
        <v>0</v>
      </c>
    </row>
    <row r="558" spans="1:6" s="221" customFormat="1" x14ac:dyDescent="0.25">
      <c r="A558" s="230">
        <v>40330</v>
      </c>
      <c r="B558" s="230" t="s">
        <v>774</v>
      </c>
      <c r="C558" s="226"/>
      <c r="D558" s="241">
        <v>96</v>
      </c>
      <c r="E558" s="226" t="s">
        <v>1047</v>
      </c>
      <c r="F558" s="234">
        <f t="shared" si="10"/>
        <v>0</v>
      </c>
    </row>
    <row r="559" spans="1:6" s="221" customFormat="1" x14ac:dyDescent="0.25">
      <c r="A559" s="230">
        <v>40340</v>
      </c>
      <c r="B559" s="230" t="s">
        <v>555</v>
      </c>
      <c r="C559" s="226"/>
      <c r="D559" s="241">
        <v>26.2</v>
      </c>
      <c r="E559" s="226" t="s">
        <v>1047</v>
      </c>
      <c r="F559" s="234">
        <f t="shared" si="10"/>
        <v>0</v>
      </c>
    </row>
    <row r="560" spans="1:6" s="221" customFormat="1" x14ac:dyDescent="0.25">
      <c r="A560" s="230">
        <v>40350</v>
      </c>
      <c r="B560" s="230" t="s">
        <v>556</v>
      </c>
      <c r="C560" s="226"/>
      <c r="D560" s="241">
        <v>6.29</v>
      </c>
      <c r="E560" s="226" t="s">
        <v>1047</v>
      </c>
      <c r="F560" s="234">
        <f t="shared" si="10"/>
        <v>0</v>
      </c>
    </row>
    <row r="561" spans="1:6" s="221" customFormat="1" x14ac:dyDescent="0.25">
      <c r="A561" s="230">
        <v>40360</v>
      </c>
      <c r="B561" s="230" t="s">
        <v>775</v>
      </c>
      <c r="C561" s="226"/>
      <c r="D561" s="241">
        <v>68.64</v>
      </c>
      <c r="E561" s="226" t="s">
        <v>1047</v>
      </c>
      <c r="F561" s="234">
        <f t="shared" si="10"/>
        <v>0</v>
      </c>
    </row>
    <row r="562" spans="1:6" s="221" customFormat="1" x14ac:dyDescent="0.25">
      <c r="A562" s="230">
        <v>40370</v>
      </c>
      <c r="B562" s="230" t="s">
        <v>557</v>
      </c>
      <c r="C562" s="226"/>
      <c r="D562" s="241">
        <v>19.190000000000001</v>
      </c>
      <c r="E562" s="226" t="s">
        <v>1047</v>
      </c>
      <c r="F562" s="234">
        <f t="shared" si="10"/>
        <v>0</v>
      </c>
    </row>
    <row r="563" spans="1:6" s="221" customFormat="1" x14ac:dyDescent="0.25">
      <c r="A563" s="230">
        <v>40380</v>
      </c>
      <c r="B563" s="226" t="s">
        <v>1560</v>
      </c>
      <c r="C563" s="226"/>
      <c r="D563" s="241">
        <v>0</v>
      </c>
      <c r="E563" s="226" t="s">
        <v>1047</v>
      </c>
      <c r="F563" s="234">
        <f t="shared" si="10"/>
        <v>0</v>
      </c>
    </row>
    <row r="564" spans="1:6" s="221" customFormat="1" x14ac:dyDescent="0.25">
      <c r="A564" s="230">
        <v>40390</v>
      </c>
      <c r="B564" s="230" t="s">
        <v>776</v>
      </c>
      <c r="C564" s="226"/>
      <c r="D564" s="241">
        <v>0</v>
      </c>
      <c r="E564" s="226" t="s">
        <v>1047</v>
      </c>
      <c r="F564" s="234">
        <f t="shared" si="10"/>
        <v>0</v>
      </c>
    </row>
    <row r="565" spans="1:6" s="221" customFormat="1" x14ac:dyDescent="0.25">
      <c r="A565" s="230">
        <v>40400</v>
      </c>
      <c r="B565" s="226" t="s">
        <v>1570</v>
      </c>
      <c r="C565" s="226"/>
      <c r="D565" s="241">
        <v>0</v>
      </c>
      <c r="E565" s="226" t="s">
        <v>1047</v>
      </c>
      <c r="F565" s="234">
        <f t="shared" si="10"/>
        <v>0</v>
      </c>
    </row>
    <row r="566" spans="1:6" s="221" customFormat="1" x14ac:dyDescent="0.25">
      <c r="A566" s="230">
        <v>40410</v>
      </c>
      <c r="B566" s="226" t="s">
        <v>1575</v>
      </c>
      <c r="C566" s="226"/>
      <c r="D566" s="241">
        <v>0</v>
      </c>
      <c r="E566" s="226" t="s">
        <v>1047</v>
      </c>
      <c r="F566" s="234">
        <f t="shared" si="10"/>
        <v>0</v>
      </c>
    </row>
    <row r="567" spans="1:6" s="221" customFormat="1" x14ac:dyDescent="0.25">
      <c r="A567" s="230">
        <v>40420</v>
      </c>
      <c r="B567" s="230" t="s">
        <v>560</v>
      </c>
      <c r="C567" s="226"/>
      <c r="D567" s="241">
        <v>20.399999999999999</v>
      </c>
      <c r="E567" s="226" t="s">
        <v>1047</v>
      </c>
      <c r="F567" s="234">
        <f t="shared" si="10"/>
        <v>0</v>
      </c>
    </row>
    <row r="568" spans="1:6" s="221" customFormat="1" x14ac:dyDescent="0.25">
      <c r="A568" s="230">
        <v>40430</v>
      </c>
      <c r="B568" s="230" t="s">
        <v>777</v>
      </c>
      <c r="C568" s="226"/>
      <c r="D568" s="241">
        <v>1.75</v>
      </c>
      <c r="E568" s="226" t="s">
        <v>1047</v>
      </c>
      <c r="F568" s="234">
        <f t="shared" si="10"/>
        <v>0</v>
      </c>
    </row>
    <row r="569" spans="1:6" s="221" customFormat="1" x14ac:dyDescent="0.25">
      <c r="A569" s="230">
        <v>40440</v>
      </c>
      <c r="B569" s="230" t="s">
        <v>1840</v>
      </c>
      <c r="C569" s="226"/>
      <c r="D569" s="241">
        <v>3.12</v>
      </c>
      <c r="E569" s="226" t="s">
        <v>1047</v>
      </c>
      <c r="F569" s="234">
        <f t="shared" si="10"/>
        <v>0</v>
      </c>
    </row>
    <row r="570" spans="1:6" s="221" customFormat="1" x14ac:dyDescent="0.25">
      <c r="A570" s="230">
        <v>40450</v>
      </c>
      <c r="B570" s="230" t="s">
        <v>779</v>
      </c>
      <c r="C570" s="226"/>
      <c r="D570" s="241">
        <v>5.86</v>
      </c>
      <c r="E570" s="226" t="s">
        <v>1047</v>
      </c>
      <c r="F570" s="234">
        <f t="shared" si="10"/>
        <v>0</v>
      </c>
    </row>
    <row r="571" spans="1:6" s="221" customFormat="1" x14ac:dyDescent="0.25">
      <c r="A571" s="230">
        <v>40460</v>
      </c>
      <c r="B571" s="230" t="s">
        <v>1841</v>
      </c>
      <c r="C571" s="226"/>
      <c r="D571" s="241">
        <v>8.6199999999999992</v>
      </c>
      <c r="E571" s="226" t="s">
        <v>1047</v>
      </c>
      <c r="F571" s="234">
        <f t="shared" si="10"/>
        <v>0</v>
      </c>
    </row>
    <row r="572" spans="1:6" s="221" customFormat="1" x14ac:dyDescent="0.25">
      <c r="A572" s="230">
        <v>40470</v>
      </c>
      <c r="B572" s="230" t="s">
        <v>1842</v>
      </c>
      <c r="C572" s="226"/>
      <c r="D572" s="241">
        <v>9.27</v>
      </c>
      <c r="E572" s="226" t="s">
        <v>1047</v>
      </c>
      <c r="F572" s="234">
        <f t="shared" si="10"/>
        <v>0</v>
      </c>
    </row>
    <row r="573" spans="1:6" s="221" customFormat="1" x14ac:dyDescent="0.25">
      <c r="A573" s="230">
        <v>40480</v>
      </c>
      <c r="B573" s="230" t="s">
        <v>1843</v>
      </c>
      <c r="C573" s="226"/>
      <c r="D573" s="241">
        <v>9.59</v>
      </c>
      <c r="E573" s="226" t="s">
        <v>1047</v>
      </c>
      <c r="F573" s="234">
        <f t="shared" si="10"/>
        <v>0</v>
      </c>
    </row>
    <row r="574" spans="1:6" s="221" customFormat="1" x14ac:dyDescent="0.25">
      <c r="A574" s="230">
        <v>40490</v>
      </c>
      <c r="B574" s="230" t="s">
        <v>783</v>
      </c>
      <c r="C574" s="226"/>
      <c r="D574" s="241">
        <v>8.24</v>
      </c>
      <c r="E574" s="226" t="s">
        <v>1047</v>
      </c>
      <c r="F574" s="234">
        <f t="shared" si="10"/>
        <v>0</v>
      </c>
    </row>
    <row r="575" spans="1:6" s="221" customFormat="1" x14ac:dyDescent="0.25">
      <c r="A575" s="230">
        <v>40500</v>
      </c>
      <c r="B575" s="226" t="s">
        <v>1573</v>
      </c>
      <c r="C575" s="226"/>
      <c r="D575" s="241">
        <v>0</v>
      </c>
      <c r="E575" s="226" t="s">
        <v>1047</v>
      </c>
      <c r="F575" s="234">
        <f t="shared" si="10"/>
        <v>0</v>
      </c>
    </row>
    <row r="576" spans="1:6" s="221" customFormat="1" x14ac:dyDescent="0.25">
      <c r="A576" s="230">
        <v>40510</v>
      </c>
      <c r="B576" s="230" t="s">
        <v>561</v>
      </c>
      <c r="C576" s="226"/>
      <c r="D576" s="241">
        <v>9.1</v>
      </c>
      <c r="E576" s="226" t="s">
        <v>1047</v>
      </c>
      <c r="F576" s="234">
        <f t="shared" si="10"/>
        <v>0</v>
      </c>
    </row>
    <row r="577" spans="1:6" s="221" customFormat="1" x14ac:dyDescent="0.25">
      <c r="A577" s="230">
        <v>40520</v>
      </c>
      <c r="B577" s="230" t="s">
        <v>1844</v>
      </c>
      <c r="C577" s="226"/>
      <c r="D577" s="241">
        <v>8.6999999999999993</v>
      </c>
      <c r="E577" s="226" t="s">
        <v>1047</v>
      </c>
      <c r="F577" s="234">
        <f t="shared" si="10"/>
        <v>0</v>
      </c>
    </row>
    <row r="578" spans="1:6" s="221" customFormat="1" x14ac:dyDescent="0.25">
      <c r="A578" s="230">
        <v>40530</v>
      </c>
      <c r="B578" s="230" t="s">
        <v>786</v>
      </c>
      <c r="C578" s="226"/>
      <c r="D578" s="241">
        <v>150.22</v>
      </c>
      <c r="E578" s="226" t="s">
        <v>1047</v>
      </c>
      <c r="F578" s="234">
        <f t="shared" si="10"/>
        <v>0</v>
      </c>
    </row>
    <row r="579" spans="1:6" s="221" customFormat="1" x14ac:dyDescent="0.25">
      <c r="A579" s="230">
        <v>40540</v>
      </c>
      <c r="B579" s="230" t="s">
        <v>787</v>
      </c>
      <c r="C579" s="226"/>
      <c r="D579" s="241">
        <v>0</v>
      </c>
      <c r="E579" s="226" t="s">
        <v>1047</v>
      </c>
      <c r="F579" s="234">
        <f t="shared" si="10"/>
        <v>0</v>
      </c>
    </row>
    <row r="580" spans="1:6" s="221" customFormat="1" x14ac:dyDescent="0.25">
      <c r="A580" s="230">
        <v>40550</v>
      </c>
      <c r="B580" s="230" t="s">
        <v>564</v>
      </c>
      <c r="C580" s="226"/>
      <c r="D580" s="241">
        <v>0.62</v>
      </c>
      <c r="E580" s="226" t="s">
        <v>1047</v>
      </c>
      <c r="F580" s="234">
        <f t="shared" si="10"/>
        <v>0</v>
      </c>
    </row>
    <row r="581" spans="1:6" s="221" customFormat="1" x14ac:dyDescent="0.25">
      <c r="A581" s="230">
        <v>40560</v>
      </c>
      <c r="B581" s="236" t="s">
        <v>1770</v>
      </c>
      <c r="C581" s="226"/>
      <c r="D581" s="241">
        <v>0.06</v>
      </c>
      <c r="E581" s="226" t="s">
        <v>1047</v>
      </c>
      <c r="F581" s="234">
        <f t="shared" si="10"/>
        <v>0</v>
      </c>
    </row>
    <row r="582" spans="1:6" s="221" customFormat="1" x14ac:dyDescent="0.25">
      <c r="A582" s="230">
        <v>40570</v>
      </c>
      <c r="B582" s="236" t="s">
        <v>671</v>
      </c>
      <c r="C582" s="226"/>
      <c r="D582" s="241"/>
      <c r="E582" s="226" t="s">
        <v>1047</v>
      </c>
      <c r="F582" s="234">
        <f t="shared" si="10"/>
        <v>0</v>
      </c>
    </row>
    <row r="583" spans="1:6" s="221" customFormat="1" x14ac:dyDescent="0.25">
      <c r="A583" s="230">
        <v>40580</v>
      </c>
      <c r="B583" s="236" t="s">
        <v>1771</v>
      </c>
      <c r="C583" s="226"/>
      <c r="D583" s="241"/>
      <c r="E583" s="226" t="s">
        <v>1047</v>
      </c>
      <c r="F583" s="234">
        <f t="shared" si="10"/>
        <v>0</v>
      </c>
    </row>
    <row r="584" spans="1:6" s="221" customFormat="1" x14ac:dyDescent="0.25">
      <c r="A584" s="230">
        <v>40590</v>
      </c>
      <c r="B584" s="230" t="s">
        <v>790</v>
      </c>
      <c r="C584" s="226"/>
      <c r="D584" s="241">
        <v>0.44</v>
      </c>
      <c r="E584" s="226" t="s">
        <v>1047</v>
      </c>
      <c r="F584" s="234">
        <f t="shared" si="10"/>
        <v>0</v>
      </c>
    </row>
    <row r="585" spans="1:6" s="221" customFormat="1" x14ac:dyDescent="0.25">
      <c r="A585" s="230">
        <v>40600</v>
      </c>
      <c r="B585" s="230" t="s">
        <v>791</v>
      </c>
      <c r="C585" s="226"/>
      <c r="D585" s="241">
        <v>9.07</v>
      </c>
      <c r="E585" s="226" t="s">
        <v>1047</v>
      </c>
      <c r="F585" s="234">
        <f t="shared" si="10"/>
        <v>0</v>
      </c>
    </row>
    <row r="586" spans="1:6" s="221" customFormat="1" x14ac:dyDescent="0.25">
      <c r="A586" s="230">
        <v>40610</v>
      </c>
      <c r="B586" s="230" t="s">
        <v>792</v>
      </c>
      <c r="C586" s="226"/>
      <c r="D586" s="241">
        <v>0</v>
      </c>
      <c r="E586" s="226" t="s">
        <v>1047</v>
      </c>
      <c r="F586" s="234">
        <f t="shared" si="10"/>
        <v>0</v>
      </c>
    </row>
    <row r="587" spans="1:6" s="221" customFormat="1" x14ac:dyDescent="0.25">
      <c r="A587" s="230">
        <v>40620</v>
      </c>
      <c r="B587" s="226" t="s">
        <v>1740</v>
      </c>
      <c r="C587" s="226"/>
      <c r="D587" s="241">
        <v>5.76</v>
      </c>
      <c r="E587" s="226" t="s">
        <v>1047</v>
      </c>
      <c r="F587" s="234">
        <f t="shared" si="10"/>
        <v>0</v>
      </c>
    </row>
    <row r="588" spans="1:6" s="221" customFormat="1" x14ac:dyDescent="0.25">
      <c r="A588" s="230">
        <v>50000</v>
      </c>
      <c r="B588" s="230" t="s">
        <v>785</v>
      </c>
      <c r="C588" s="226"/>
      <c r="D588" s="241">
        <v>22.82</v>
      </c>
      <c r="E588" s="226" t="s">
        <v>1047</v>
      </c>
      <c r="F588" s="234">
        <f t="shared" si="10"/>
        <v>0</v>
      </c>
    </row>
    <row r="589" spans="1:6" s="221" customFormat="1" x14ac:dyDescent="0.25">
      <c r="A589" s="230">
        <v>50010</v>
      </c>
      <c r="B589" s="230" t="s">
        <v>571</v>
      </c>
      <c r="C589" s="226"/>
      <c r="D589" s="241">
        <v>5.77</v>
      </c>
      <c r="E589" s="226" t="s">
        <v>1047</v>
      </c>
      <c r="F589" s="234">
        <f t="shared" si="10"/>
        <v>0</v>
      </c>
    </row>
    <row r="590" spans="1:6" s="221" customFormat="1" x14ac:dyDescent="0.25">
      <c r="A590" s="230">
        <v>50020</v>
      </c>
      <c r="B590" s="230" t="s">
        <v>806</v>
      </c>
      <c r="C590" s="226"/>
      <c r="D590" s="241">
        <v>0.12</v>
      </c>
      <c r="E590" s="226" t="s">
        <v>1047</v>
      </c>
      <c r="F590" s="234">
        <f t="shared" si="10"/>
        <v>0</v>
      </c>
    </row>
    <row r="591" spans="1:6" s="221" customFormat="1" x14ac:dyDescent="0.25">
      <c r="A591" s="230">
        <v>50030</v>
      </c>
      <c r="B591" s="230" t="s">
        <v>984</v>
      </c>
      <c r="C591" s="226"/>
      <c r="D591" s="241">
        <v>10.65</v>
      </c>
      <c r="E591" s="226" t="s">
        <v>1047</v>
      </c>
      <c r="F591" s="234">
        <f t="shared" si="10"/>
        <v>0</v>
      </c>
    </row>
    <row r="592" spans="1:6" s="221" customFormat="1" x14ac:dyDescent="0.25">
      <c r="A592" s="230">
        <v>50040</v>
      </c>
      <c r="B592" s="230" t="s">
        <v>985</v>
      </c>
      <c r="C592" s="226">
        <v>1</v>
      </c>
      <c r="D592" s="241">
        <v>7.96</v>
      </c>
      <c r="E592" s="226" t="s">
        <v>1047</v>
      </c>
      <c r="F592" s="234">
        <f t="shared" si="10"/>
        <v>7.96</v>
      </c>
    </row>
    <row r="593" spans="1:6" s="221" customFormat="1" x14ac:dyDescent="0.25">
      <c r="A593" s="230">
        <v>50050</v>
      </c>
      <c r="B593" s="230" t="s">
        <v>986</v>
      </c>
      <c r="C593" s="226"/>
      <c r="D593" s="241">
        <v>10.119999999999999</v>
      </c>
      <c r="E593" s="226" t="s">
        <v>1047</v>
      </c>
      <c r="F593" s="234">
        <f t="shared" si="10"/>
        <v>0</v>
      </c>
    </row>
    <row r="594" spans="1:6" s="221" customFormat="1" x14ac:dyDescent="0.25">
      <c r="A594" s="230">
        <v>50060</v>
      </c>
      <c r="B594" s="230" t="s">
        <v>987</v>
      </c>
      <c r="C594" s="226"/>
      <c r="D594" s="241">
        <v>20.97</v>
      </c>
      <c r="E594" s="226" t="s">
        <v>1047</v>
      </c>
      <c r="F594" s="234">
        <f t="shared" si="10"/>
        <v>0</v>
      </c>
    </row>
    <row r="595" spans="1:6" s="221" customFormat="1" x14ac:dyDescent="0.25">
      <c r="A595" s="230">
        <v>50070</v>
      </c>
      <c r="B595" s="230" t="s">
        <v>988</v>
      </c>
      <c r="C595" s="226"/>
      <c r="D595" s="241">
        <v>28.5</v>
      </c>
      <c r="E595" s="226" t="s">
        <v>1047</v>
      </c>
      <c r="F595" s="234">
        <f t="shared" si="10"/>
        <v>0</v>
      </c>
    </row>
    <row r="596" spans="1:6" s="221" customFormat="1" x14ac:dyDescent="0.25">
      <c r="A596" s="230">
        <v>50080</v>
      </c>
      <c r="B596" s="230" t="s">
        <v>572</v>
      </c>
      <c r="C596" s="226">
        <v>4</v>
      </c>
      <c r="D596" s="241">
        <v>4.38</v>
      </c>
      <c r="E596" s="226" t="s">
        <v>1047</v>
      </c>
      <c r="F596" s="234">
        <f t="shared" si="10"/>
        <v>17.52</v>
      </c>
    </row>
    <row r="597" spans="1:6" s="221" customFormat="1" x14ac:dyDescent="0.25">
      <c r="A597" s="230">
        <v>50090</v>
      </c>
      <c r="B597" s="230" t="s">
        <v>573</v>
      </c>
      <c r="C597" s="226"/>
      <c r="D597" s="241">
        <v>0.98</v>
      </c>
      <c r="E597" s="226" t="s">
        <v>1047</v>
      </c>
      <c r="F597" s="234">
        <f t="shared" si="10"/>
        <v>0</v>
      </c>
    </row>
    <row r="598" spans="1:6" s="221" customFormat="1" x14ac:dyDescent="0.25">
      <c r="A598" s="230">
        <v>50100</v>
      </c>
      <c r="B598" s="230" t="s">
        <v>574</v>
      </c>
      <c r="C598" s="226">
        <v>8</v>
      </c>
      <c r="D598" s="241">
        <v>2.1800000000000002</v>
      </c>
      <c r="E598" s="226" t="s">
        <v>1047</v>
      </c>
      <c r="F598" s="234">
        <f t="shared" si="10"/>
        <v>17.440000000000001</v>
      </c>
    </row>
    <row r="599" spans="1:6" s="221" customFormat="1" x14ac:dyDescent="0.25">
      <c r="A599" s="230">
        <v>50110</v>
      </c>
      <c r="B599" s="230" t="s">
        <v>989</v>
      </c>
      <c r="C599" s="226"/>
      <c r="D599" s="241">
        <v>6.52</v>
      </c>
      <c r="E599" s="226" t="s">
        <v>1047</v>
      </c>
      <c r="F599" s="234">
        <f t="shared" si="10"/>
        <v>0</v>
      </c>
    </row>
    <row r="600" spans="1:6" s="221" customFormat="1" x14ac:dyDescent="0.25">
      <c r="A600" s="230">
        <v>50120</v>
      </c>
      <c r="B600" s="230" t="s">
        <v>575</v>
      </c>
      <c r="C600" s="226">
        <v>2</v>
      </c>
      <c r="D600" s="241">
        <v>2.1800000000000002</v>
      </c>
      <c r="E600" s="226" t="s">
        <v>1047</v>
      </c>
      <c r="F600" s="234">
        <f t="shared" si="10"/>
        <v>4.3600000000000003</v>
      </c>
    </row>
    <row r="601" spans="1:6" s="221" customFormat="1" x14ac:dyDescent="0.25">
      <c r="A601" s="230">
        <v>50130</v>
      </c>
      <c r="B601" s="230" t="s">
        <v>807</v>
      </c>
      <c r="C601" s="226">
        <v>2</v>
      </c>
      <c r="D601" s="241">
        <v>2.94</v>
      </c>
      <c r="E601" s="226" t="s">
        <v>1047</v>
      </c>
      <c r="F601" s="234">
        <f t="shared" si="10"/>
        <v>5.88</v>
      </c>
    </row>
    <row r="602" spans="1:6" s="221" customFormat="1" x14ac:dyDescent="0.25">
      <c r="A602" s="230">
        <v>50140</v>
      </c>
      <c r="B602" s="230" t="s">
        <v>808</v>
      </c>
      <c r="C602" s="226">
        <v>8</v>
      </c>
      <c r="D602" s="241">
        <v>1.78</v>
      </c>
      <c r="E602" s="226" t="s">
        <v>1047</v>
      </c>
      <c r="F602" s="234">
        <f t="shared" si="10"/>
        <v>14.24</v>
      </c>
    </row>
    <row r="603" spans="1:6" s="221" customFormat="1" x14ac:dyDescent="0.25">
      <c r="A603" s="230">
        <v>50150</v>
      </c>
      <c r="B603" s="230" t="s">
        <v>576</v>
      </c>
      <c r="C603" s="226"/>
      <c r="D603" s="241">
        <v>1.79</v>
      </c>
      <c r="E603" s="226" t="s">
        <v>1047</v>
      </c>
      <c r="F603" s="234">
        <f t="shared" si="10"/>
        <v>0</v>
      </c>
    </row>
    <row r="604" spans="1:6" s="221" customFormat="1" x14ac:dyDescent="0.25">
      <c r="A604" s="230">
        <v>50160</v>
      </c>
      <c r="B604" s="230" t="s">
        <v>809</v>
      </c>
      <c r="C604" s="226">
        <v>6</v>
      </c>
      <c r="D604" s="241">
        <v>1.49</v>
      </c>
      <c r="E604" s="226" t="s">
        <v>1047</v>
      </c>
      <c r="F604" s="234">
        <f t="shared" si="10"/>
        <v>8.94</v>
      </c>
    </row>
    <row r="605" spans="1:6" s="221" customFormat="1" x14ac:dyDescent="0.25">
      <c r="A605" s="230">
        <v>50170</v>
      </c>
      <c r="B605" s="230" t="s">
        <v>577</v>
      </c>
      <c r="C605" s="226"/>
      <c r="D605" s="241">
        <v>1.77</v>
      </c>
      <c r="E605" s="226" t="s">
        <v>1047</v>
      </c>
      <c r="F605" s="234">
        <f t="shared" ref="F605:F668" si="11">C605*D605</f>
        <v>0</v>
      </c>
    </row>
    <row r="606" spans="1:6" s="221" customFormat="1" x14ac:dyDescent="0.25">
      <c r="A606" s="230">
        <v>50180</v>
      </c>
      <c r="B606" s="230" t="s">
        <v>990</v>
      </c>
      <c r="C606" s="226">
        <v>8</v>
      </c>
      <c r="D606" s="241">
        <v>2.57</v>
      </c>
      <c r="E606" s="226" t="s">
        <v>1047</v>
      </c>
      <c r="F606" s="234">
        <f t="shared" si="11"/>
        <v>20.56</v>
      </c>
    </row>
    <row r="607" spans="1:6" s="221" customFormat="1" x14ac:dyDescent="0.25">
      <c r="A607" s="230">
        <v>50190</v>
      </c>
      <c r="B607" s="230" t="s">
        <v>810</v>
      </c>
      <c r="C607" s="226"/>
      <c r="D607" s="241">
        <v>2.79</v>
      </c>
      <c r="E607" s="226" t="s">
        <v>1047</v>
      </c>
      <c r="F607" s="234">
        <f t="shared" si="11"/>
        <v>0</v>
      </c>
    </row>
    <row r="608" spans="1:6" s="221" customFormat="1" x14ac:dyDescent="0.25">
      <c r="A608" s="230">
        <v>50200</v>
      </c>
      <c r="B608" s="230" t="s">
        <v>811</v>
      </c>
      <c r="C608" s="226"/>
      <c r="D608" s="241">
        <v>4.99</v>
      </c>
      <c r="E608" s="226" t="s">
        <v>1047</v>
      </c>
      <c r="F608" s="234">
        <f t="shared" si="11"/>
        <v>0</v>
      </c>
    </row>
    <row r="609" spans="1:6" s="221" customFormat="1" x14ac:dyDescent="0.25">
      <c r="A609" s="230">
        <v>50210</v>
      </c>
      <c r="B609" s="230" t="s">
        <v>578</v>
      </c>
      <c r="C609" s="226"/>
      <c r="D609" s="241">
        <v>7.13</v>
      </c>
      <c r="E609" s="226" t="s">
        <v>1047</v>
      </c>
      <c r="F609" s="234">
        <f t="shared" si="11"/>
        <v>0</v>
      </c>
    </row>
    <row r="610" spans="1:6" s="221" customFormat="1" x14ac:dyDescent="0.25">
      <c r="A610" s="230">
        <v>50220</v>
      </c>
      <c r="B610" s="230" t="s">
        <v>991</v>
      </c>
      <c r="C610" s="226"/>
      <c r="D610" s="241">
        <v>1.97</v>
      </c>
      <c r="E610" s="226" t="s">
        <v>1047</v>
      </c>
      <c r="F610" s="234">
        <f t="shared" si="11"/>
        <v>0</v>
      </c>
    </row>
    <row r="611" spans="1:6" s="221" customFormat="1" x14ac:dyDescent="0.25">
      <c r="A611" s="230">
        <v>50230</v>
      </c>
      <c r="B611" s="230" t="s">
        <v>579</v>
      </c>
      <c r="C611" s="226">
        <v>5</v>
      </c>
      <c r="D611" s="241">
        <v>2.85</v>
      </c>
      <c r="E611" s="226" t="s">
        <v>1047</v>
      </c>
      <c r="F611" s="234">
        <f t="shared" si="11"/>
        <v>14.25</v>
      </c>
    </row>
    <row r="612" spans="1:6" s="221" customFormat="1" x14ac:dyDescent="0.25">
      <c r="A612" s="230">
        <v>50240</v>
      </c>
      <c r="B612" s="230" t="s">
        <v>580</v>
      </c>
      <c r="C612" s="226">
        <v>5</v>
      </c>
      <c r="D612" s="241">
        <v>3.44</v>
      </c>
      <c r="E612" s="226" t="s">
        <v>1047</v>
      </c>
      <c r="F612" s="234">
        <f t="shared" si="11"/>
        <v>17.2</v>
      </c>
    </row>
    <row r="613" spans="1:6" s="221" customFormat="1" x14ac:dyDescent="0.25">
      <c r="A613" s="230">
        <v>50250</v>
      </c>
      <c r="B613" s="230" t="s">
        <v>812</v>
      </c>
      <c r="C613" s="226"/>
      <c r="D613" s="241">
        <v>9.6199999999999992</v>
      </c>
      <c r="E613" s="226" t="s">
        <v>1047</v>
      </c>
      <c r="F613" s="234">
        <f t="shared" si="11"/>
        <v>0</v>
      </c>
    </row>
    <row r="614" spans="1:6" s="221" customFormat="1" x14ac:dyDescent="0.25">
      <c r="A614" s="230">
        <v>50260</v>
      </c>
      <c r="B614" s="230" t="s">
        <v>581</v>
      </c>
      <c r="C614" s="226">
        <v>5</v>
      </c>
      <c r="D614" s="241">
        <v>16</v>
      </c>
      <c r="E614" s="226" t="s">
        <v>1047</v>
      </c>
      <c r="F614" s="234">
        <f t="shared" si="11"/>
        <v>80</v>
      </c>
    </row>
    <row r="615" spans="1:6" s="221" customFormat="1" x14ac:dyDescent="0.25">
      <c r="A615" s="230">
        <v>50270</v>
      </c>
      <c r="B615" s="230" t="s">
        <v>813</v>
      </c>
      <c r="C615" s="226">
        <v>1</v>
      </c>
      <c r="D615" s="241">
        <v>45.04</v>
      </c>
      <c r="E615" s="226" t="s">
        <v>1047</v>
      </c>
      <c r="F615" s="234">
        <f t="shared" si="11"/>
        <v>45.04</v>
      </c>
    </row>
    <row r="616" spans="1:6" s="221" customFormat="1" x14ac:dyDescent="0.25">
      <c r="A616" s="230">
        <v>50280</v>
      </c>
      <c r="B616" s="230" t="s">
        <v>992</v>
      </c>
      <c r="C616" s="226">
        <v>2</v>
      </c>
      <c r="D616" s="241">
        <v>121.86</v>
      </c>
      <c r="E616" s="226" t="s">
        <v>1047</v>
      </c>
      <c r="F616" s="234">
        <f t="shared" si="11"/>
        <v>243.72</v>
      </c>
    </row>
    <row r="617" spans="1:6" s="221" customFormat="1" x14ac:dyDescent="0.25">
      <c r="A617" s="230">
        <v>50290</v>
      </c>
      <c r="B617" s="230" t="s">
        <v>814</v>
      </c>
      <c r="C617" s="226"/>
      <c r="D617" s="241">
        <v>243.73</v>
      </c>
      <c r="E617" s="226" t="s">
        <v>1047</v>
      </c>
      <c r="F617" s="234">
        <f t="shared" si="11"/>
        <v>0</v>
      </c>
    </row>
    <row r="618" spans="1:6" s="221" customFormat="1" x14ac:dyDescent="0.25">
      <c r="A618" s="230">
        <v>50300</v>
      </c>
      <c r="B618" s="230" t="s">
        <v>993</v>
      </c>
      <c r="C618" s="226"/>
      <c r="D618" s="241">
        <v>608.92999999999995</v>
      </c>
      <c r="E618" s="226" t="s">
        <v>1047</v>
      </c>
      <c r="F618" s="234">
        <f t="shared" si="11"/>
        <v>0</v>
      </c>
    </row>
    <row r="619" spans="1:6" s="221" customFormat="1" x14ac:dyDescent="0.25">
      <c r="A619" s="230">
        <v>50310</v>
      </c>
      <c r="B619" s="230" t="s">
        <v>815</v>
      </c>
      <c r="C619" s="226">
        <v>1</v>
      </c>
      <c r="D619" s="241">
        <v>159.04</v>
      </c>
      <c r="E619" s="226" t="s">
        <v>1047</v>
      </c>
      <c r="F619" s="234">
        <f t="shared" si="11"/>
        <v>159.04</v>
      </c>
    </row>
    <row r="620" spans="1:6" s="221" customFormat="1" x14ac:dyDescent="0.25">
      <c r="A620" s="230">
        <v>50320</v>
      </c>
      <c r="B620" s="230" t="s">
        <v>994</v>
      </c>
      <c r="C620" s="226"/>
      <c r="D620" s="241">
        <v>318.11</v>
      </c>
      <c r="E620" s="226" t="s">
        <v>1047</v>
      </c>
      <c r="F620" s="234">
        <f t="shared" si="11"/>
        <v>0</v>
      </c>
    </row>
    <row r="621" spans="1:6" s="221" customFormat="1" x14ac:dyDescent="0.25">
      <c r="A621" s="230">
        <v>50330</v>
      </c>
      <c r="B621" s="230" t="s">
        <v>995</v>
      </c>
      <c r="C621" s="226"/>
      <c r="D621" s="241">
        <v>794.76</v>
      </c>
      <c r="E621" s="226" t="s">
        <v>1047</v>
      </c>
      <c r="F621" s="234">
        <f t="shared" si="11"/>
        <v>0</v>
      </c>
    </row>
    <row r="622" spans="1:6" s="221" customFormat="1" x14ac:dyDescent="0.25">
      <c r="A622" s="230">
        <v>50340</v>
      </c>
      <c r="B622" s="230" t="s">
        <v>1013</v>
      </c>
      <c r="C622" s="226"/>
      <c r="D622" s="241">
        <v>437.67</v>
      </c>
      <c r="E622" s="226" t="s">
        <v>1047</v>
      </c>
      <c r="F622" s="234">
        <f t="shared" si="11"/>
        <v>0</v>
      </c>
    </row>
    <row r="623" spans="1:6" s="221" customFormat="1" x14ac:dyDescent="0.25">
      <c r="A623" s="230">
        <v>50350</v>
      </c>
      <c r="B623" s="230" t="s">
        <v>1014</v>
      </c>
      <c r="C623" s="226"/>
      <c r="D623" s="241">
        <v>875.35</v>
      </c>
      <c r="E623" s="226" t="s">
        <v>1047</v>
      </c>
      <c r="F623" s="234">
        <f t="shared" si="11"/>
        <v>0</v>
      </c>
    </row>
    <row r="624" spans="1:6" s="221" customFormat="1" x14ac:dyDescent="0.25">
      <c r="A624" s="230">
        <v>50360</v>
      </c>
      <c r="B624" s="230" t="s">
        <v>582</v>
      </c>
      <c r="C624" s="226"/>
      <c r="D624" s="241">
        <v>10.08</v>
      </c>
      <c r="E624" s="226" t="s">
        <v>1047</v>
      </c>
      <c r="F624" s="234">
        <f t="shared" si="11"/>
        <v>0</v>
      </c>
    </row>
    <row r="625" spans="1:6" s="221" customFormat="1" x14ac:dyDescent="0.25">
      <c r="A625" s="230">
        <v>50370</v>
      </c>
      <c r="B625" s="230" t="s">
        <v>583</v>
      </c>
      <c r="C625" s="226"/>
      <c r="D625" s="241">
        <v>13.74</v>
      </c>
      <c r="E625" s="226" t="s">
        <v>1047</v>
      </c>
      <c r="F625" s="234">
        <f t="shared" si="11"/>
        <v>0</v>
      </c>
    </row>
    <row r="626" spans="1:6" s="221" customFormat="1" x14ac:dyDescent="0.25">
      <c r="A626" s="230">
        <v>50380</v>
      </c>
      <c r="B626" s="230" t="s">
        <v>996</v>
      </c>
      <c r="C626" s="226"/>
      <c r="D626" s="241">
        <v>0</v>
      </c>
      <c r="E626" s="226" t="s">
        <v>1047</v>
      </c>
      <c r="F626" s="234">
        <f t="shared" si="11"/>
        <v>0</v>
      </c>
    </row>
    <row r="627" spans="1:6" s="221" customFormat="1" x14ac:dyDescent="0.25">
      <c r="A627" s="230">
        <v>50390</v>
      </c>
      <c r="B627" s="230" t="s">
        <v>997</v>
      </c>
      <c r="C627" s="226"/>
      <c r="D627" s="241">
        <v>0</v>
      </c>
      <c r="E627" s="226" t="s">
        <v>1047</v>
      </c>
      <c r="F627" s="234">
        <f t="shared" si="11"/>
        <v>0</v>
      </c>
    </row>
    <row r="628" spans="1:6" s="221" customFormat="1" x14ac:dyDescent="0.25">
      <c r="A628" s="230">
        <v>50400</v>
      </c>
      <c r="B628" s="230" t="s">
        <v>584</v>
      </c>
      <c r="C628" s="226"/>
      <c r="D628" s="241">
        <v>7.46</v>
      </c>
      <c r="E628" s="226" t="s">
        <v>1047</v>
      </c>
      <c r="F628" s="234">
        <f t="shared" si="11"/>
        <v>0</v>
      </c>
    </row>
    <row r="629" spans="1:6" s="221" customFormat="1" x14ac:dyDescent="0.25">
      <c r="A629" s="230">
        <v>50410</v>
      </c>
      <c r="B629" s="230" t="s">
        <v>585</v>
      </c>
      <c r="C629" s="226"/>
      <c r="D629" s="241">
        <v>12.43</v>
      </c>
      <c r="E629" s="226" t="s">
        <v>1047</v>
      </c>
      <c r="F629" s="234">
        <f t="shared" si="11"/>
        <v>0</v>
      </c>
    </row>
    <row r="630" spans="1:6" s="221" customFormat="1" x14ac:dyDescent="0.25">
      <c r="A630" s="230">
        <v>50420</v>
      </c>
      <c r="B630" s="230" t="s">
        <v>998</v>
      </c>
      <c r="C630" s="226">
        <v>1</v>
      </c>
      <c r="D630" s="241">
        <v>7.46</v>
      </c>
      <c r="E630" s="226" t="s">
        <v>1047</v>
      </c>
      <c r="F630" s="234">
        <f t="shared" si="11"/>
        <v>7.46</v>
      </c>
    </row>
    <row r="631" spans="1:6" s="221" customFormat="1" x14ac:dyDescent="0.25">
      <c r="A631" s="230">
        <v>50430</v>
      </c>
      <c r="B631" s="230" t="s">
        <v>999</v>
      </c>
      <c r="C631" s="226">
        <v>1</v>
      </c>
      <c r="D631" s="241">
        <v>2.2200000000000002</v>
      </c>
      <c r="E631" s="226" t="s">
        <v>1047</v>
      </c>
      <c r="F631" s="234">
        <f t="shared" si="11"/>
        <v>2.2200000000000002</v>
      </c>
    </row>
    <row r="632" spans="1:6" s="221" customFormat="1" x14ac:dyDescent="0.25">
      <c r="A632" s="230">
        <v>50440</v>
      </c>
      <c r="B632" s="230" t="s">
        <v>1000</v>
      </c>
      <c r="C632" s="226"/>
      <c r="D632" s="241">
        <v>11.18</v>
      </c>
      <c r="E632" s="226" t="s">
        <v>1047</v>
      </c>
      <c r="F632" s="234">
        <f t="shared" si="11"/>
        <v>0</v>
      </c>
    </row>
    <row r="633" spans="1:6" s="221" customFormat="1" x14ac:dyDescent="0.25">
      <c r="A633" s="230">
        <v>50450</v>
      </c>
      <c r="B633" s="230" t="s">
        <v>586</v>
      </c>
      <c r="C633" s="226"/>
      <c r="D633" s="241">
        <v>11.43</v>
      </c>
      <c r="E633" s="226" t="s">
        <v>1047</v>
      </c>
      <c r="F633" s="234">
        <f t="shared" si="11"/>
        <v>0</v>
      </c>
    </row>
    <row r="634" spans="1:6" s="221" customFormat="1" x14ac:dyDescent="0.25">
      <c r="A634" s="230">
        <v>50460</v>
      </c>
      <c r="B634" s="230" t="s">
        <v>1015</v>
      </c>
      <c r="C634" s="226"/>
      <c r="D634" s="241">
        <v>15.23</v>
      </c>
      <c r="E634" s="226" t="s">
        <v>1047</v>
      </c>
      <c r="F634" s="234">
        <f t="shared" si="11"/>
        <v>0</v>
      </c>
    </row>
    <row r="635" spans="1:6" s="221" customFormat="1" x14ac:dyDescent="0.25">
      <c r="A635" s="230">
        <v>50470</v>
      </c>
      <c r="B635" s="230" t="s">
        <v>816</v>
      </c>
      <c r="C635" s="226"/>
      <c r="D635" s="241">
        <v>31.72</v>
      </c>
      <c r="E635" s="226" t="s">
        <v>1047</v>
      </c>
      <c r="F635" s="234">
        <f t="shared" si="11"/>
        <v>0</v>
      </c>
    </row>
    <row r="636" spans="1:6" s="221" customFormat="1" x14ac:dyDescent="0.25">
      <c r="A636" s="230">
        <v>50480</v>
      </c>
      <c r="B636" s="230" t="s">
        <v>587</v>
      </c>
      <c r="C636" s="226">
        <v>2</v>
      </c>
      <c r="D636" s="241">
        <v>1.06</v>
      </c>
      <c r="E636" s="226" t="s">
        <v>1047</v>
      </c>
      <c r="F636" s="234">
        <f t="shared" si="11"/>
        <v>2.12</v>
      </c>
    </row>
    <row r="637" spans="1:6" s="221" customFormat="1" x14ac:dyDescent="0.25">
      <c r="A637" s="230">
        <v>50490</v>
      </c>
      <c r="B637" s="230" t="s">
        <v>588</v>
      </c>
      <c r="C637" s="226">
        <v>2</v>
      </c>
      <c r="D637" s="241">
        <v>2.09</v>
      </c>
      <c r="E637" s="226" t="s">
        <v>1047</v>
      </c>
      <c r="F637" s="234">
        <f t="shared" si="11"/>
        <v>4.18</v>
      </c>
    </row>
    <row r="638" spans="1:6" s="221" customFormat="1" x14ac:dyDescent="0.25">
      <c r="A638" s="230">
        <v>50500</v>
      </c>
      <c r="B638" s="230" t="s">
        <v>817</v>
      </c>
      <c r="C638" s="226">
        <v>2</v>
      </c>
      <c r="D638" s="241">
        <v>4.3499999999999996</v>
      </c>
      <c r="E638" s="226" t="s">
        <v>1047</v>
      </c>
      <c r="F638" s="234">
        <f t="shared" si="11"/>
        <v>8.6999999999999993</v>
      </c>
    </row>
    <row r="639" spans="1:6" s="221" customFormat="1" x14ac:dyDescent="0.25">
      <c r="A639" s="230">
        <v>50510</v>
      </c>
      <c r="B639" s="230" t="s">
        <v>818</v>
      </c>
      <c r="C639" s="226"/>
      <c r="D639" s="241">
        <v>2.09</v>
      </c>
      <c r="E639" s="226" t="s">
        <v>1047</v>
      </c>
      <c r="F639" s="234">
        <f t="shared" si="11"/>
        <v>0</v>
      </c>
    </row>
    <row r="640" spans="1:6" s="221" customFormat="1" x14ac:dyDescent="0.25">
      <c r="A640" s="230">
        <v>50520</v>
      </c>
      <c r="B640" s="230" t="s">
        <v>819</v>
      </c>
      <c r="C640" s="226"/>
      <c r="D640" s="241">
        <v>2.73</v>
      </c>
      <c r="E640" s="226" t="s">
        <v>1047</v>
      </c>
      <c r="F640" s="234">
        <f t="shared" si="11"/>
        <v>0</v>
      </c>
    </row>
    <row r="641" spans="1:6" s="221" customFormat="1" x14ac:dyDescent="0.25">
      <c r="A641" s="230">
        <v>50530</v>
      </c>
      <c r="B641" s="230" t="s">
        <v>820</v>
      </c>
      <c r="C641" s="226"/>
      <c r="D641" s="241">
        <v>9.77</v>
      </c>
      <c r="E641" s="226" t="s">
        <v>1047</v>
      </c>
      <c r="F641" s="234">
        <f t="shared" si="11"/>
        <v>0</v>
      </c>
    </row>
    <row r="642" spans="1:6" s="221" customFormat="1" x14ac:dyDescent="0.25">
      <c r="A642" s="230">
        <v>50540</v>
      </c>
      <c r="B642" s="230" t="s">
        <v>821</v>
      </c>
      <c r="C642" s="226">
        <v>1</v>
      </c>
      <c r="D642" s="241">
        <v>10.76</v>
      </c>
      <c r="E642" s="226" t="s">
        <v>1047</v>
      </c>
      <c r="F642" s="234">
        <f t="shared" si="11"/>
        <v>10.76</v>
      </c>
    </row>
    <row r="643" spans="1:6" s="221" customFormat="1" x14ac:dyDescent="0.25">
      <c r="A643" s="230">
        <v>50550</v>
      </c>
      <c r="B643" s="230" t="s">
        <v>838</v>
      </c>
      <c r="C643" s="226">
        <v>1</v>
      </c>
      <c r="D643" s="241">
        <v>48.43</v>
      </c>
      <c r="E643" s="226" t="s">
        <v>1047</v>
      </c>
      <c r="F643" s="234">
        <f t="shared" si="11"/>
        <v>48.43</v>
      </c>
    </row>
    <row r="644" spans="1:6" s="221" customFormat="1" x14ac:dyDescent="0.25">
      <c r="A644" s="230">
        <v>50560</v>
      </c>
      <c r="B644" s="230" t="s">
        <v>1002</v>
      </c>
      <c r="C644" s="226">
        <v>2</v>
      </c>
      <c r="D644" s="241">
        <v>11.12</v>
      </c>
      <c r="E644" s="226" t="s">
        <v>1047</v>
      </c>
      <c r="F644" s="234">
        <f t="shared" si="11"/>
        <v>22.24</v>
      </c>
    </row>
    <row r="645" spans="1:6" s="221" customFormat="1" x14ac:dyDescent="0.25">
      <c r="A645" s="230">
        <v>50570</v>
      </c>
      <c r="B645" s="230" t="s">
        <v>1001</v>
      </c>
      <c r="C645" s="226"/>
      <c r="D645" s="241">
        <v>11.12</v>
      </c>
      <c r="E645" s="226" t="s">
        <v>1047</v>
      </c>
      <c r="F645" s="234">
        <f t="shared" si="11"/>
        <v>0</v>
      </c>
    </row>
    <row r="646" spans="1:6" s="221" customFormat="1" x14ac:dyDescent="0.25">
      <c r="A646" s="230">
        <v>50580</v>
      </c>
      <c r="B646" s="230" t="s">
        <v>1003</v>
      </c>
      <c r="C646" s="226"/>
      <c r="D646" s="241">
        <v>9.36</v>
      </c>
      <c r="E646" s="226" t="s">
        <v>1047</v>
      </c>
      <c r="F646" s="234">
        <f t="shared" si="11"/>
        <v>0</v>
      </c>
    </row>
    <row r="647" spans="1:6" s="221" customFormat="1" x14ac:dyDescent="0.25">
      <c r="A647" s="230">
        <v>50590</v>
      </c>
      <c r="B647" s="230" t="s">
        <v>822</v>
      </c>
      <c r="C647" s="226"/>
      <c r="D647" s="241">
        <v>4.83</v>
      </c>
      <c r="E647" s="226" t="s">
        <v>1047</v>
      </c>
      <c r="F647" s="234">
        <f t="shared" si="11"/>
        <v>0</v>
      </c>
    </row>
    <row r="648" spans="1:6" s="221" customFormat="1" x14ac:dyDescent="0.25">
      <c r="A648" s="230">
        <v>50600</v>
      </c>
      <c r="B648" s="230" t="s">
        <v>823</v>
      </c>
      <c r="C648" s="226"/>
      <c r="D648" s="241">
        <v>1.55</v>
      </c>
      <c r="E648" s="226" t="s">
        <v>1047</v>
      </c>
      <c r="F648" s="234">
        <f t="shared" si="11"/>
        <v>0</v>
      </c>
    </row>
    <row r="649" spans="1:6" s="221" customFormat="1" x14ac:dyDescent="0.25">
      <c r="A649" s="230">
        <v>50610</v>
      </c>
      <c r="B649" s="230" t="s">
        <v>824</v>
      </c>
      <c r="C649" s="226"/>
      <c r="D649" s="241">
        <v>2.64</v>
      </c>
      <c r="E649" s="226" t="s">
        <v>1047</v>
      </c>
      <c r="F649" s="234">
        <f t="shared" si="11"/>
        <v>0</v>
      </c>
    </row>
    <row r="650" spans="1:6" s="221" customFormat="1" x14ac:dyDescent="0.25">
      <c r="A650" s="230">
        <v>50620</v>
      </c>
      <c r="B650" s="230" t="s">
        <v>825</v>
      </c>
      <c r="C650" s="226"/>
      <c r="D650" s="241">
        <v>6.82</v>
      </c>
      <c r="E650" s="226" t="s">
        <v>1047</v>
      </c>
      <c r="F650" s="234">
        <f t="shared" si="11"/>
        <v>0</v>
      </c>
    </row>
    <row r="651" spans="1:6" s="221" customFormat="1" x14ac:dyDescent="0.25">
      <c r="A651" s="230">
        <v>50630</v>
      </c>
      <c r="B651" s="230" t="s">
        <v>1004</v>
      </c>
      <c r="C651" s="226"/>
      <c r="D651" s="241">
        <v>2.94</v>
      </c>
      <c r="E651" s="226" t="s">
        <v>1047</v>
      </c>
      <c r="F651" s="234">
        <f t="shared" si="11"/>
        <v>0</v>
      </c>
    </row>
    <row r="652" spans="1:6" s="221" customFormat="1" x14ac:dyDescent="0.25">
      <c r="A652" s="230">
        <v>50640</v>
      </c>
      <c r="B652" s="230" t="s">
        <v>826</v>
      </c>
      <c r="C652" s="226"/>
      <c r="D652" s="241">
        <v>3.48</v>
      </c>
      <c r="E652" s="226" t="s">
        <v>1047</v>
      </c>
      <c r="F652" s="234">
        <f t="shared" si="11"/>
        <v>0</v>
      </c>
    </row>
    <row r="653" spans="1:6" s="221" customFormat="1" x14ac:dyDescent="0.25">
      <c r="A653" s="230">
        <v>50650</v>
      </c>
      <c r="B653" s="230" t="s">
        <v>827</v>
      </c>
      <c r="C653" s="226"/>
      <c r="D653" s="241">
        <v>0.56000000000000005</v>
      </c>
      <c r="E653" s="226" t="s">
        <v>1047</v>
      </c>
      <c r="F653" s="234">
        <f t="shared" si="11"/>
        <v>0</v>
      </c>
    </row>
    <row r="654" spans="1:6" s="221" customFormat="1" x14ac:dyDescent="0.25">
      <c r="A654" s="230">
        <v>50660</v>
      </c>
      <c r="B654" s="230" t="s">
        <v>1005</v>
      </c>
      <c r="C654" s="226"/>
      <c r="D654" s="241">
        <v>5.94</v>
      </c>
      <c r="E654" s="226" t="s">
        <v>1047</v>
      </c>
      <c r="F654" s="234">
        <f t="shared" si="11"/>
        <v>0</v>
      </c>
    </row>
    <row r="655" spans="1:6" s="221" customFormat="1" x14ac:dyDescent="0.25">
      <c r="A655" s="230">
        <v>50670</v>
      </c>
      <c r="B655" s="230" t="s">
        <v>828</v>
      </c>
      <c r="C655" s="226"/>
      <c r="D655" s="241">
        <v>1.84</v>
      </c>
      <c r="E655" s="226" t="s">
        <v>1047</v>
      </c>
      <c r="F655" s="234">
        <f t="shared" si="11"/>
        <v>0</v>
      </c>
    </row>
    <row r="656" spans="1:6" s="221" customFormat="1" x14ac:dyDescent="0.25">
      <c r="A656" s="230">
        <v>50680</v>
      </c>
      <c r="B656" s="230" t="s">
        <v>829</v>
      </c>
      <c r="C656" s="226"/>
      <c r="D656" s="241">
        <v>2.1</v>
      </c>
      <c r="E656" s="226" t="s">
        <v>1047</v>
      </c>
      <c r="F656" s="234">
        <f t="shared" si="11"/>
        <v>0</v>
      </c>
    </row>
    <row r="657" spans="1:6" s="221" customFormat="1" x14ac:dyDescent="0.25">
      <c r="A657" s="230">
        <v>50690</v>
      </c>
      <c r="B657" s="230" t="s">
        <v>1006</v>
      </c>
      <c r="C657" s="226"/>
      <c r="D657" s="241">
        <v>2.58</v>
      </c>
      <c r="E657" s="226" t="s">
        <v>1047</v>
      </c>
      <c r="F657" s="234">
        <f t="shared" si="11"/>
        <v>0</v>
      </c>
    </row>
    <row r="658" spans="1:6" s="221" customFormat="1" x14ac:dyDescent="0.25">
      <c r="A658" s="230">
        <v>50700</v>
      </c>
      <c r="B658" s="230" t="s">
        <v>1007</v>
      </c>
      <c r="C658" s="226"/>
      <c r="D658" s="241">
        <v>1.8</v>
      </c>
      <c r="E658" s="226" t="s">
        <v>1047</v>
      </c>
      <c r="F658" s="234">
        <f t="shared" si="11"/>
        <v>0</v>
      </c>
    </row>
    <row r="659" spans="1:6" s="221" customFormat="1" x14ac:dyDescent="0.25">
      <c r="A659" s="263">
        <v>50705</v>
      </c>
      <c r="B659" s="263" t="s">
        <v>1784</v>
      </c>
      <c r="C659" s="226"/>
      <c r="D659" s="241"/>
      <c r="E659" s="226" t="s">
        <v>1047</v>
      </c>
      <c r="F659" s="234">
        <f t="shared" si="11"/>
        <v>0</v>
      </c>
    </row>
    <row r="660" spans="1:6" s="221" customFormat="1" x14ac:dyDescent="0.25">
      <c r="A660" s="263">
        <v>50710</v>
      </c>
      <c r="B660" s="263" t="s">
        <v>1008</v>
      </c>
      <c r="C660" s="259"/>
      <c r="D660" s="241">
        <v>11.91</v>
      </c>
      <c r="E660" s="259" t="s">
        <v>1047</v>
      </c>
      <c r="F660" s="234">
        <f t="shared" si="11"/>
        <v>0</v>
      </c>
    </row>
    <row r="661" spans="1:6" s="221" customFormat="1" x14ac:dyDescent="0.25">
      <c r="A661" s="263">
        <v>50715</v>
      </c>
      <c r="B661" s="263" t="s">
        <v>1785</v>
      </c>
      <c r="C661" s="226"/>
      <c r="D661" s="241"/>
      <c r="E661" s="226" t="s">
        <v>1047</v>
      </c>
      <c r="F661" s="234">
        <f t="shared" si="11"/>
        <v>0</v>
      </c>
    </row>
    <row r="662" spans="1:6" s="221" customFormat="1" x14ac:dyDescent="0.25">
      <c r="A662" s="263">
        <v>50720</v>
      </c>
      <c r="B662" s="263" t="s">
        <v>830</v>
      </c>
      <c r="C662" s="226"/>
      <c r="D662" s="241">
        <v>0.88</v>
      </c>
      <c r="E662" s="226" t="s">
        <v>1047</v>
      </c>
      <c r="F662" s="234">
        <f t="shared" si="11"/>
        <v>0</v>
      </c>
    </row>
    <row r="663" spans="1:6" s="221" customFormat="1" x14ac:dyDescent="0.25">
      <c r="A663" s="230">
        <v>50730</v>
      </c>
      <c r="B663" s="230" t="s">
        <v>831</v>
      </c>
      <c r="C663" s="226"/>
      <c r="D663" s="241">
        <v>4.01</v>
      </c>
      <c r="E663" s="226" t="s">
        <v>1047</v>
      </c>
      <c r="F663" s="234">
        <f t="shared" si="11"/>
        <v>0</v>
      </c>
    </row>
    <row r="664" spans="1:6" s="221" customFormat="1" x14ac:dyDescent="0.25">
      <c r="A664" s="230">
        <v>50740</v>
      </c>
      <c r="B664" s="230" t="s">
        <v>832</v>
      </c>
      <c r="C664" s="226"/>
      <c r="D664" s="241">
        <v>8.5399999999999991</v>
      </c>
      <c r="E664" s="226" t="s">
        <v>1047</v>
      </c>
      <c r="F664" s="234">
        <f t="shared" si="11"/>
        <v>0</v>
      </c>
    </row>
    <row r="665" spans="1:6" s="221" customFormat="1" x14ac:dyDescent="0.25">
      <c r="A665" s="230">
        <v>50750</v>
      </c>
      <c r="B665" s="230" t="s">
        <v>833</v>
      </c>
      <c r="C665" s="226"/>
      <c r="D665" s="241">
        <v>0</v>
      </c>
      <c r="E665" s="226" t="s">
        <v>1047</v>
      </c>
      <c r="F665" s="234">
        <f t="shared" si="11"/>
        <v>0</v>
      </c>
    </row>
    <row r="666" spans="1:6" s="221" customFormat="1" x14ac:dyDescent="0.25">
      <c r="A666" s="230">
        <v>50760</v>
      </c>
      <c r="B666" s="230" t="s">
        <v>839</v>
      </c>
      <c r="C666" s="226"/>
      <c r="D666" s="241">
        <v>2</v>
      </c>
      <c r="E666" s="226" t="s">
        <v>1047</v>
      </c>
      <c r="F666" s="234">
        <f t="shared" si="11"/>
        <v>0</v>
      </c>
    </row>
    <row r="667" spans="1:6" s="221" customFormat="1" x14ac:dyDescent="0.25">
      <c r="A667" s="230">
        <v>50770</v>
      </c>
      <c r="B667" s="230" t="s">
        <v>840</v>
      </c>
      <c r="C667" s="226"/>
      <c r="D667" s="241">
        <v>3.03</v>
      </c>
      <c r="E667" s="226" t="s">
        <v>1047</v>
      </c>
      <c r="F667" s="234">
        <f t="shared" si="11"/>
        <v>0</v>
      </c>
    </row>
    <row r="668" spans="1:6" s="221" customFormat="1" x14ac:dyDescent="0.25">
      <c r="A668" s="230">
        <v>50780</v>
      </c>
      <c r="B668" s="230" t="s">
        <v>834</v>
      </c>
      <c r="C668" s="226"/>
      <c r="D668" s="241">
        <v>3.48</v>
      </c>
      <c r="E668" s="226" t="s">
        <v>1047</v>
      </c>
      <c r="F668" s="234">
        <f t="shared" si="11"/>
        <v>0</v>
      </c>
    </row>
    <row r="669" spans="1:6" s="221" customFormat="1" x14ac:dyDescent="0.25">
      <c r="A669" s="230">
        <v>50790</v>
      </c>
      <c r="B669" s="230" t="s">
        <v>841</v>
      </c>
      <c r="C669" s="226"/>
      <c r="D669" s="241">
        <v>13.54</v>
      </c>
      <c r="E669" s="226" t="s">
        <v>1047</v>
      </c>
      <c r="F669" s="234">
        <f t="shared" ref="F669:F676" si="12">C669*D669</f>
        <v>0</v>
      </c>
    </row>
    <row r="670" spans="1:6" s="221" customFormat="1" x14ac:dyDescent="0.25">
      <c r="A670" s="230">
        <v>50800</v>
      </c>
      <c r="B670" s="230" t="s">
        <v>842</v>
      </c>
      <c r="C670" s="226"/>
      <c r="D670" s="241">
        <v>5.25</v>
      </c>
      <c r="E670" s="226" t="s">
        <v>1047</v>
      </c>
      <c r="F670" s="234">
        <f t="shared" si="12"/>
        <v>0</v>
      </c>
    </row>
    <row r="671" spans="1:6" s="221" customFormat="1" x14ac:dyDescent="0.25">
      <c r="A671" s="230">
        <v>50810</v>
      </c>
      <c r="B671" s="230" t="s">
        <v>1009</v>
      </c>
      <c r="C671" s="226"/>
      <c r="D671" s="241">
        <v>0.08</v>
      </c>
      <c r="E671" s="226" t="s">
        <v>1047</v>
      </c>
      <c r="F671" s="234">
        <f t="shared" si="12"/>
        <v>0</v>
      </c>
    </row>
    <row r="672" spans="1:6" s="221" customFormat="1" x14ac:dyDescent="0.25">
      <c r="A672" s="230">
        <v>50820</v>
      </c>
      <c r="B672" s="230" t="s">
        <v>1010</v>
      </c>
      <c r="C672" s="226"/>
      <c r="D672" s="241">
        <v>0.03</v>
      </c>
      <c r="E672" s="226" t="s">
        <v>1047</v>
      </c>
      <c r="F672" s="234">
        <f t="shared" si="12"/>
        <v>0</v>
      </c>
    </row>
    <row r="673" spans="1:6" s="221" customFormat="1" x14ac:dyDescent="0.25">
      <c r="A673" s="230">
        <v>50830</v>
      </c>
      <c r="B673" s="230" t="s">
        <v>835</v>
      </c>
      <c r="C673" s="226"/>
      <c r="D673" s="241">
        <v>0.09</v>
      </c>
      <c r="E673" s="226" t="s">
        <v>1047</v>
      </c>
      <c r="F673" s="234">
        <f t="shared" si="12"/>
        <v>0</v>
      </c>
    </row>
    <row r="674" spans="1:6" s="221" customFormat="1" x14ac:dyDescent="0.25">
      <c r="A674" s="230">
        <v>50840</v>
      </c>
      <c r="B674" s="230" t="s">
        <v>1011</v>
      </c>
      <c r="C674" s="226"/>
      <c r="D674" s="241">
        <v>114.4</v>
      </c>
      <c r="E674" s="226" t="s">
        <v>1047</v>
      </c>
      <c r="F674" s="234">
        <f t="shared" si="12"/>
        <v>0</v>
      </c>
    </row>
    <row r="675" spans="1:6" s="221" customFormat="1" x14ac:dyDescent="0.25">
      <c r="A675" s="230">
        <v>50850</v>
      </c>
      <c r="B675" s="230" t="s">
        <v>836</v>
      </c>
      <c r="C675" s="226"/>
      <c r="D675" s="241">
        <v>21.24</v>
      </c>
      <c r="E675" s="226" t="s">
        <v>1047</v>
      </c>
      <c r="F675" s="234">
        <f t="shared" si="12"/>
        <v>0</v>
      </c>
    </row>
    <row r="676" spans="1:6" s="221" customFormat="1" x14ac:dyDescent="0.25">
      <c r="A676" s="230">
        <v>50860</v>
      </c>
      <c r="B676" s="230" t="s">
        <v>1012</v>
      </c>
      <c r="C676" s="226">
        <v>1</v>
      </c>
      <c r="D676" s="241">
        <v>44.67</v>
      </c>
      <c r="E676" s="226" t="s">
        <v>1047</v>
      </c>
      <c r="F676" s="234">
        <f t="shared" si="12"/>
        <v>44.67</v>
      </c>
    </row>
  </sheetData>
  <sortState xmlns:xlrd2="http://schemas.microsoft.com/office/spreadsheetml/2017/richdata2" ref="A1:H92">
    <sortCondition ref="A1:A92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FDFF82FA90F448A6E166D9E5B6913" ma:contentTypeVersion="3" ma:contentTypeDescription="Create a new document." ma:contentTypeScope="" ma:versionID="89d60f75a232f3198020d7c2fdefa88c">
  <xsd:schema xmlns:xsd="http://www.w3.org/2001/XMLSchema" xmlns:xs="http://www.w3.org/2001/XMLSchema" xmlns:p="http://schemas.microsoft.com/office/2006/metadata/properties" xmlns:ns2="799511bd-4dae-4b03-8c0d-89eeb9ceb269" targetNamespace="http://schemas.microsoft.com/office/2006/metadata/properties" ma:root="true" ma:fieldsID="7fde66b318b92cc99766bd45e8d2aa66" ns2:_="">
    <xsd:import namespace="799511bd-4dae-4b03-8c0d-89eeb9ceb2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511bd-4dae-4b03-8c0d-89eeb9ceb2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F1D7CE-547B-4EBC-9F20-BC1A97AFD5D4}"/>
</file>

<file path=customXml/itemProps2.xml><?xml version="1.0" encoding="utf-8"?>
<ds:datastoreItem xmlns:ds="http://schemas.openxmlformats.org/officeDocument/2006/customXml" ds:itemID="{51A28A2D-1A82-4587-A14C-6CB8BACFA31C}"/>
</file>

<file path=customXml/itemProps3.xml><?xml version="1.0" encoding="utf-8"?>
<ds:datastoreItem xmlns:ds="http://schemas.openxmlformats.org/officeDocument/2006/customXml" ds:itemID="{FE74B290-2199-4418-B105-75A0B4130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Rough Labor</vt:lpstr>
      <vt:lpstr>Trim Labor</vt:lpstr>
      <vt:lpstr>Gas PIpe</vt:lpstr>
      <vt:lpstr>Materials</vt:lpstr>
      <vt:lpstr>Calc</vt:lpstr>
      <vt:lpstr>Sheet2</vt:lpstr>
      <vt:lpstr>On Call</vt:lpstr>
      <vt:lpstr>Extras</vt:lpstr>
      <vt:lpstr>Time Card</vt:lpstr>
      <vt:lpstr>Builder Info Sheet</vt:lpstr>
      <vt:lpstr>Sheet1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Heinrich</dc:creator>
  <cp:lastModifiedBy>Brad Heinrich</cp:lastModifiedBy>
  <dcterms:created xsi:type="dcterms:W3CDTF">2024-06-04T16:30:38Z</dcterms:created>
  <dcterms:modified xsi:type="dcterms:W3CDTF">2025-07-23T22:44:56Z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0x010100B83FDFF82FA90F448A6E166D9E5B6913</vt:lpwstr>
  </property>
</Properties>
</file>